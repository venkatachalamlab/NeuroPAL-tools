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v/GitHub/NeuroPAL/matlab/"/>
    </mc:Choice>
  </mc:AlternateContent>
  <xr:revisionPtr revIDLastSave="0" documentId="13_ncr:1_{4B5D9E56-63BF-CE46-A414-68508957049C}" xr6:coauthVersionLast="38" xr6:coauthVersionMax="38" xr10:uidLastSave="{00000000-0000-0000-0000-000000000000}"/>
  <bookViews>
    <workbookView xWindow="1000" yWindow="960" windowWidth="37400" windowHeight="22820" xr2:uid="{0A29BC89-AB40-7246-8ADE-E27AB7FEE7E4}"/>
  </bookViews>
  <sheets>
    <sheet name="Portrait" sheetId="2" r:id="rId1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0" i="2" l="1"/>
  <c r="F20" i="2"/>
  <c r="G20" i="2"/>
  <c r="H17" i="2"/>
  <c r="G17" i="2"/>
  <c r="F17" i="2"/>
  <c r="G12" i="2"/>
  <c r="F12" i="2"/>
  <c r="H12" i="2"/>
  <c r="H8" i="2"/>
  <c r="G8" i="2"/>
  <c r="F8" i="2"/>
  <c r="H9" i="2"/>
  <c r="G9" i="2"/>
  <c r="F9" i="2"/>
  <c r="H6" i="2"/>
  <c r="F6" i="2"/>
  <c r="G6" i="2"/>
  <c r="H154" i="2"/>
  <c r="H146" i="2"/>
  <c r="H105" i="2"/>
  <c r="H140" i="2"/>
  <c r="H76" i="2"/>
  <c r="H127" i="2"/>
  <c r="H28" i="2"/>
  <c r="H137" i="2"/>
  <c r="H62" i="2"/>
  <c r="H136" i="2"/>
  <c r="H82" i="2"/>
  <c r="H49" i="2"/>
  <c r="G130" i="2"/>
  <c r="G31" i="2"/>
  <c r="G152" i="2"/>
  <c r="G112" i="2"/>
  <c r="G103" i="2"/>
  <c r="G87" i="2"/>
  <c r="G114" i="2"/>
  <c r="G113" i="2"/>
  <c r="G36" i="2"/>
  <c r="G111" i="2"/>
  <c r="G110" i="2"/>
  <c r="G121" i="2"/>
  <c r="F106" i="2"/>
  <c r="F134" i="2"/>
  <c r="F129" i="2"/>
  <c r="F128" i="2"/>
  <c r="F77" i="2"/>
  <c r="F39" i="2"/>
  <c r="F23" i="2"/>
  <c r="F35" i="2"/>
  <c r="F126" i="2"/>
  <c r="F87" i="2"/>
  <c r="F47" i="2"/>
  <c r="F148" i="2"/>
  <c r="G89" i="2"/>
  <c r="F105" i="2"/>
  <c r="F70" i="2"/>
  <c r="F50" i="2"/>
  <c r="G10" i="2"/>
  <c r="G83" i="2"/>
  <c r="F93" i="2"/>
  <c r="F100" i="2"/>
  <c r="F107" i="2"/>
  <c r="F58" i="2"/>
  <c r="H43" i="2"/>
  <c r="G41" i="2"/>
  <c r="F59" i="2"/>
  <c r="F151" i="2"/>
  <c r="F143" i="2"/>
  <c r="H66" i="2"/>
  <c r="G78" i="2"/>
  <c r="G23" i="2"/>
  <c r="F76" i="2"/>
  <c r="F150" i="2"/>
  <c r="G74" i="2"/>
  <c r="F10" i="2"/>
  <c r="H21" i="2"/>
  <c r="F125" i="2"/>
  <c r="H142" i="2"/>
  <c r="H72" i="2"/>
  <c r="H93" i="2"/>
  <c r="H128" i="2"/>
  <c r="H40" i="2"/>
  <c r="H115" i="2"/>
  <c r="H134" i="2"/>
  <c r="H125" i="2"/>
  <c r="H38" i="2"/>
  <c r="H124" i="2"/>
  <c r="H34" i="2"/>
  <c r="H10" i="2"/>
  <c r="G118" i="2"/>
  <c r="G33" i="2"/>
  <c r="G140" i="2"/>
  <c r="G62" i="2"/>
  <c r="G91" i="2"/>
  <c r="G50" i="2"/>
  <c r="G102" i="2"/>
  <c r="G101" i="2"/>
  <c r="G47" i="2"/>
  <c r="G99" i="2"/>
  <c r="G98" i="2"/>
  <c r="G109" i="2"/>
  <c r="F94" i="2"/>
  <c r="F84" i="2"/>
  <c r="F117" i="2"/>
  <c r="F116" i="2"/>
  <c r="F53" i="2"/>
  <c r="F13" i="2"/>
  <c r="F96" i="2"/>
  <c r="F108" i="2"/>
  <c r="F90" i="2"/>
  <c r="F74" i="2"/>
  <c r="F4" i="2"/>
  <c r="F147" i="2"/>
  <c r="G86" i="2"/>
  <c r="F80" i="2"/>
  <c r="F104" i="2"/>
  <c r="F124" i="2"/>
  <c r="F64" i="2"/>
  <c r="F146" i="2"/>
  <c r="G37" i="2"/>
  <c r="G72" i="2"/>
  <c r="F92" i="2"/>
  <c r="F52" i="2"/>
  <c r="H133" i="2"/>
  <c r="G52" i="2"/>
  <c r="F102" i="2"/>
  <c r="H58" i="2"/>
  <c r="F55" i="2"/>
  <c r="F31" i="2"/>
  <c r="F72" i="2"/>
  <c r="H27" i="2"/>
  <c r="G38" i="2"/>
  <c r="F65" i="2"/>
  <c r="H130" i="2"/>
  <c r="H109" i="2"/>
  <c r="H79" i="2"/>
  <c r="H116" i="2"/>
  <c r="H14" i="2"/>
  <c r="H103" i="2"/>
  <c r="H48" i="2"/>
  <c r="H113" i="2"/>
  <c r="H11" i="2"/>
  <c r="H112" i="2"/>
  <c r="H143" i="2"/>
  <c r="H84" i="2"/>
  <c r="G106" i="2"/>
  <c r="G153" i="2"/>
  <c r="G128" i="2"/>
  <c r="G61" i="2"/>
  <c r="G77" i="2"/>
  <c r="G11" i="2"/>
  <c r="G90" i="2"/>
  <c r="G132" i="2"/>
  <c r="G84" i="2"/>
  <c r="G97" i="2"/>
  <c r="F60" i="2"/>
  <c r="F29" i="2"/>
  <c r="F34" i="2"/>
  <c r="F120" i="2"/>
  <c r="G76" i="2"/>
  <c r="G73" i="2"/>
  <c r="F7" i="2"/>
  <c r="F138" i="2"/>
  <c r="F26" i="2"/>
  <c r="F145" i="2"/>
  <c r="H78" i="2"/>
  <c r="H71" i="2"/>
  <c r="G117" i="2"/>
  <c r="G35" i="2"/>
  <c r="G120" i="2"/>
  <c r="F44" i="2"/>
  <c r="F66" i="2"/>
  <c r="F86" i="2"/>
  <c r="H53" i="2"/>
  <c r="H26" i="2"/>
  <c r="G105" i="2"/>
  <c r="G29" i="2"/>
  <c r="G69" i="2"/>
  <c r="F32" i="2"/>
  <c r="F135" i="2"/>
  <c r="F49" i="2"/>
  <c r="G54" i="2"/>
  <c r="F14" i="2"/>
  <c r="H60" i="2"/>
  <c r="G39" i="2"/>
  <c r="F33" i="2"/>
  <c r="F27" i="2"/>
  <c r="H118" i="2"/>
  <c r="H35" i="2"/>
  <c r="H67" i="2"/>
  <c r="H104" i="2"/>
  <c r="H98" i="2"/>
  <c r="H91" i="2"/>
  <c r="H121" i="2"/>
  <c r="H101" i="2"/>
  <c r="H25" i="2"/>
  <c r="H87" i="2"/>
  <c r="H69" i="2"/>
  <c r="H7" i="2"/>
  <c r="G94" i="2"/>
  <c r="G141" i="2"/>
  <c r="G116" i="2"/>
  <c r="G65" i="2"/>
  <c r="G75" i="2"/>
  <c r="G57" i="2"/>
  <c r="F68" i="2"/>
  <c r="F131" i="2"/>
  <c r="H120" i="2"/>
  <c r="G24" i="2"/>
  <c r="F38" i="2"/>
  <c r="F57" i="2"/>
  <c r="H31" i="2"/>
  <c r="H63" i="2"/>
  <c r="H144" i="2"/>
  <c r="G108" i="2"/>
  <c r="G46" i="2"/>
  <c r="F111" i="2"/>
  <c r="G81" i="2"/>
  <c r="F11" i="2"/>
  <c r="F110" i="2"/>
  <c r="F3" i="2"/>
  <c r="H95" i="2"/>
  <c r="G149" i="2"/>
  <c r="F98" i="2"/>
  <c r="H106" i="2"/>
  <c r="H96" i="2"/>
  <c r="H55" i="2"/>
  <c r="H92" i="2"/>
  <c r="H24" i="2"/>
  <c r="H77" i="2"/>
  <c r="H47" i="2"/>
  <c r="H89" i="2"/>
  <c r="H110" i="2"/>
  <c r="H74" i="2"/>
  <c r="H147" i="2"/>
  <c r="H97" i="2"/>
  <c r="G80" i="2"/>
  <c r="G129" i="2"/>
  <c r="G104" i="2"/>
  <c r="G71" i="2"/>
  <c r="G53" i="2"/>
  <c r="G7" i="2"/>
  <c r="G64" i="2"/>
  <c r="G51" i="2"/>
  <c r="G60" i="2"/>
  <c r="G25" i="2"/>
  <c r="G48" i="2"/>
  <c r="G4" i="2"/>
  <c r="F56" i="2"/>
  <c r="F109" i="2"/>
  <c r="F79" i="2"/>
  <c r="F78" i="2"/>
  <c r="F114" i="2"/>
  <c r="F62" i="2"/>
  <c r="F69" i="2"/>
  <c r="F45" i="2"/>
  <c r="F28" i="2"/>
  <c r="F123" i="2"/>
  <c r="F119" i="2"/>
  <c r="F144" i="2"/>
  <c r="H22" i="2"/>
  <c r="H65" i="2"/>
  <c r="H75" i="2"/>
  <c r="H50" i="2"/>
  <c r="H135" i="2"/>
  <c r="G68" i="2"/>
  <c r="G82" i="2"/>
  <c r="G27" i="2"/>
  <c r="G96" i="2"/>
  <c r="F67" i="2"/>
  <c r="F137" i="2"/>
  <c r="H59" i="2"/>
  <c r="H123" i="2"/>
  <c r="G58" i="2"/>
  <c r="G124" i="2"/>
  <c r="G70" i="2"/>
  <c r="F54" i="2"/>
  <c r="F139" i="2"/>
  <c r="H3" i="2"/>
  <c r="G63" i="2"/>
  <c r="F30" i="2"/>
  <c r="H86" i="2"/>
  <c r="G139" i="2"/>
  <c r="G147" i="2"/>
  <c r="F16" i="2"/>
  <c r="F24" i="2"/>
  <c r="F149" i="2"/>
  <c r="H94" i="2"/>
  <c r="H36" i="2"/>
  <c r="G92" i="2"/>
  <c r="G59" i="2"/>
  <c r="F63" i="2"/>
  <c r="H81" i="2"/>
  <c r="H83" i="2"/>
  <c r="G56" i="2"/>
  <c r="G40" i="2"/>
  <c r="F132" i="2"/>
  <c r="F113" i="2"/>
  <c r="G14" i="2"/>
  <c r="F154" i="2"/>
  <c r="F91" i="2"/>
  <c r="H131" i="2"/>
  <c r="G146" i="2"/>
  <c r="H80" i="2"/>
  <c r="H15" i="2"/>
  <c r="G21" i="2"/>
  <c r="H68" i="2"/>
  <c r="H57" i="2"/>
  <c r="H18" i="2"/>
  <c r="H54" i="2"/>
  <c r="H132" i="2"/>
  <c r="H41" i="2"/>
  <c r="H119" i="2"/>
  <c r="H51" i="2"/>
  <c r="H4" i="2"/>
  <c r="H37" i="2"/>
  <c r="H111" i="2"/>
  <c r="H70" i="2"/>
  <c r="G44" i="2"/>
  <c r="G79" i="2"/>
  <c r="G66" i="2"/>
  <c r="G107" i="2"/>
  <c r="G15" i="2"/>
  <c r="G34" i="2"/>
  <c r="G28" i="2"/>
  <c r="G100" i="2"/>
  <c r="G148" i="2"/>
  <c r="G144" i="2"/>
  <c r="G22" i="2"/>
  <c r="G95" i="2"/>
  <c r="F19" i="2"/>
  <c r="F46" i="2"/>
  <c r="F43" i="2"/>
  <c r="F42" i="2"/>
  <c r="F40" i="2"/>
  <c r="F61" i="2"/>
  <c r="F25" i="2"/>
  <c r="F115" i="2"/>
  <c r="F89" i="2"/>
  <c r="F122" i="2"/>
  <c r="F82" i="2"/>
  <c r="G3" i="2"/>
  <c r="H153" i="2"/>
  <c r="G67" i="2"/>
  <c r="G131" i="2"/>
  <c r="F22" i="2"/>
  <c r="G43" i="2"/>
  <c r="F18" i="2"/>
  <c r="F95" i="2"/>
  <c r="H56" i="2"/>
  <c r="H138" i="2"/>
  <c r="H42" i="2"/>
  <c r="H46" i="2"/>
  <c r="H29" i="2"/>
  <c r="H45" i="2"/>
  <c r="H39" i="2"/>
  <c r="H108" i="2"/>
  <c r="H122" i="2"/>
  <c r="H99" i="2"/>
  <c r="H107" i="2"/>
  <c r="G32" i="2"/>
  <c r="G151" i="2"/>
  <c r="G143" i="2"/>
  <c r="G119" i="2"/>
  <c r="F81" i="2"/>
  <c r="F51" i="2"/>
  <c r="H30" i="2"/>
  <c r="F99" i="2"/>
  <c r="H44" i="2"/>
  <c r="H141" i="2"/>
  <c r="H90" i="2"/>
  <c r="H150" i="2"/>
  <c r="G19" i="2"/>
  <c r="G42" i="2"/>
  <c r="G150" i="2"/>
  <c r="F142" i="2"/>
  <c r="F48" i="2"/>
  <c r="F71" i="2"/>
  <c r="H32" i="2"/>
  <c r="H129" i="2"/>
  <c r="H52" i="2"/>
  <c r="H16" i="2"/>
  <c r="H151" i="2"/>
  <c r="H114" i="2"/>
  <c r="H126" i="2"/>
  <c r="H13" i="2"/>
  <c r="H33" i="2"/>
  <c r="H145" i="2"/>
  <c r="H73" i="2"/>
  <c r="G154" i="2"/>
  <c r="G93" i="2"/>
  <c r="G18" i="2"/>
  <c r="G30" i="2"/>
  <c r="G127" i="2"/>
  <c r="G13" i="2"/>
  <c r="G138" i="2"/>
  <c r="G137" i="2"/>
  <c r="G26" i="2"/>
  <c r="G135" i="2"/>
  <c r="G134" i="2"/>
  <c r="G145" i="2"/>
  <c r="F130" i="2"/>
  <c r="F73" i="2"/>
  <c r="F153" i="2"/>
  <c r="F152" i="2"/>
  <c r="F127" i="2"/>
  <c r="F101" i="2"/>
  <c r="F36" i="2"/>
  <c r="F133" i="2"/>
  <c r="F41" i="2"/>
  <c r="F136" i="2"/>
  <c r="F121" i="2"/>
  <c r="F21" i="2"/>
  <c r="H117" i="2"/>
  <c r="H152" i="2"/>
  <c r="H102" i="2"/>
  <c r="H139" i="2"/>
  <c r="H64" i="2"/>
  <c r="H149" i="2"/>
  <c r="H100" i="2"/>
  <c r="H148" i="2"/>
  <c r="H23" i="2"/>
  <c r="H61" i="2"/>
  <c r="G142" i="2"/>
  <c r="G55" i="2"/>
  <c r="G45" i="2"/>
  <c r="G16" i="2"/>
  <c r="G115" i="2"/>
  <c r="G136" i="2"/>
  <c r="G126" i="2"/>
  <c r="G49" i="2"/>
  <c r="G123" i="2"/>
  <c r="G122" i="2"/>
  <c r="G133" i="2"/>
  <c r="F118" i="2"/>
  <c r="F37" i="2"/>
  <c r="F140" i="2"/>
  <c r="F103" i="2"/>
  <c r="F75" i="2"/>
  <c r="F83" i="2"/>
  <c r="F15" i="2"/>
  <c r="H19" i="2"/>
  <c r="G125" i="2"/>
  <c r="F141" i="2"/>
  <c r="F97" i="2"/>
  <c r="F112" i="2"/>
  <c r="G5" i="2"/>
  <c r="F5" i="2"/>
  <c r="H5" i="2"/>
  <c r="H85" i="2"/>
  <c r="G85" i="2"/>
  <c r="F85" i="2"/>
  <c r="H88" i="2"/>
  <c r="G88" i="2"/>
  <c r="F88" i="2"/>
</calcChain>
</file>

<file path=xl/sharedStrings.xml><?xml version="1.0" encoding="utf-8"?>
<sst xmlns="http://schemas.openxmlformats.org/spreadsheetml/2006/main" count="173" uniqueCount="173">
  <si>
    <t>Ganglia</t>
  </si>
  <si>
    <t>Neurons</t>
  </si>
  <si>
    <t>BAG</t>
  </si>
  <si>
    <t>CEPV</t>
  </si>
  <si>
    <t>IL1</t>
  </si>
  <si>
    <t>IL2</t>
  </si>
  <si>
    <t>OLL</t>
  </si>
  <si>
    <t>RIP</t>
  </si>
  <si>
    <t>URB</t>
  </si>
  <si>
    <t>RME</t>
  </si>
  <si>
    <t>I1</t>
  </si>
  <si>
    <t>I2</t>
  </si>
  <si>
    <t>I3</t>
  </si>
  <si>
    <t>M3</t>
  </si>
  <si>
    <t>M4</t>
  </si>
  <si>
    <t>MC</t>
  </si>
  <si>
    <t>NSM</t>
  </si>
  <si>
    <t>MI</t>
  </si>
  <si>
    <t>ADA</t>
  </si>
  <si>
    <t>ADE</t>
  </si>
  <si>
    <t>ADL</t>
  </si>
  <si>
    <t>ADF</t>
  </si>
  <si>
    <t>AFD</t>
  </si>
  <si>
    <t>AIA</t>
  </si>
  <si>
    <t>AIB</t>
  </si>
  <si>
    <t>AIN</t>
  </si>
  <si>
    <t>AIY</t>
  </si>
  <si>
    <t>AIZ</t>
  </si>
  <si>
    <t>ALA</t>
  </si>
  <si>
    <t>AQR</t>
  </si>
  <si>
    <t>ASEL</t>
  </si>
  <si>
    <t>ASER</t>
  </si>
  <si>
    <t>ASG</t>
  </si>
  <si>
    <t>ASH</t>
  </si>
  <si>
    <t>ASI</t>
  </si>
  <si>
    <t>ASJ</t>
  </si>
  <si>
    <t>ASK</t>
  </si>
  <si>
    <t>AUA</t>
  </si>
  <si>
    <t>AVA</t>
  </si>
  <si>
    <t>AVB</t>
  </si>
  <si>
    <t>AVD</t>
  </si>
  <si>
    <t>AVE</t>
  </si>
  <si>
    <t>AVH</t>
  </si>
  <si>
    <t>AVJ</t>
  </si>
  <si>
    <t>AWA</t>
  </si>
  <si>
    <t>AWB</t>
  </si>
  <si>
    <t>CEPD</t>
  </si>
  <si>
    <t>FLP</t>
  </si>
  <si>
    <t>RIB</t>
  </si>
  <si>
    <t>RIC</t>
  </si>
  <si>
    <t>RID</t>
  </si>
  <si>
    <t>RIM</t>
  </si>
  <si>
    <t>RIV</t>
  </si>
  <si>
    <t>RMDV</t>
  </si>
  <si>
    <t>RMD</t>
  </si>
  <si>
    <t>RMG</t>
  </si>
  <si>
    <t>SAAV</t>
  </si>
  <si>
    <t>SIBV</t>
  </si>
  <si>
    <t>SMDV</t>
  </si>
  <si>
    <t>URX</t>
  </si>
  <si>
    <t>NeuroPAL</t>
  </si>
  <si>
    <t>I4</t>
  </si>
  <si>
    <t>I5</t>
  </si>
  <si>
    <t>I6</t>
  </si>
  <si>
    <t>M1</t>
  </si>
  <si>
    <t>M2</t>
  </si>
  <si>
    <t>M5</t>
  </si>
  <si>
    <t>RMED/V</t>
  </si>
  <si>
    <t>AIM</t>
  </si>
  <si>
    <t>AVK</t>
  </si>
  <si>
    <t>AVL</t>
  </si>
  <si>
    <t>RIH</t>
  </si>
  <si>
    <t>RIR</t>
  </si>
  <si>
    <t>RMF</t>
  </si>
  <si>
    <t>RMH</t>
  </si>
  <si>
    <t>RIS</t>
  </si>
  <si>
    <t>SMDD</t>
  </si>
  <si>
    <t>SIBD</t>
  </si>
  <si>
    <t>SAAD</t>
  </si>
  <si>
    <t>RMDD</t>
  </si>
  <si>
    <t>AVG</t>
  </si>
  <si>
    <t>DA1</t>
  </si>
  <si>
    <t>AVF</t>
  </si>
  <si>
    <t>DB1-2</t>
  </si>
  <si>
    <t>AS1</t>
  </si>
  <si>
    <t>DD1</t>
  </si>
  <si>
    <t>RIF</t>
  </si>
  <si>
    <t>RIG</t>
  </si>
  <si>
    <t>VB1</t>
  </si>
  <si>
    <t>VB2</t>
  </si>
  <si>
    <t>VD1-2</t>
  </si>
  <si>
    <t>VA1</t>
  </si>
  <si>
    <t>AS2-10</t>
  </si>
  <si>
    <t>DA2-7</t>
  </si>
  <si>
    <t>DB3-6</t>
  </si>
  <si>
    <t>DD2-5</t>
  </si>
  <si>
    <t>VA2-10</t>
  </si>
  <si>
    <t>VA11</t>
  </si>
  <si>
    <t>VB3-11</t>
  </si>
  <si>
    <t>VC1-6</t>
  </si>
  <si>
    <t>VD3-11</t>
  </si>
  <si>
    <t>ALM</t>
  </si>
  <si>
    <t>AVM</t>
  </si>
  <si>
    <t>BDU</t>
  </si>
  <si>
    <t>CAN</t>
  </si>
  <si>
    <t>HSN</t>
  </si>
  <si>
    <t>PDE</t>
  </si>
  <si>
    <t>PVD</t>
  </si>
  <si>
    <t>PVM</t>
  </si>
  <si>
    <t>AS11</t>
  </si>
  <si>
    <t>DD6</t>
  </si>
  <si>
    <t>DA8</t>
  </si>
  <si>
    <t>DA9</t>
  </si>
  <si>
    <t>PDA</t>
  </si>
  <si>
    <t>PDB</t>
  </si>
  <si>
    <t>PVP</t>
  </si>
  <si>
    <t>PVT</t>
  </si>
  <si>
    <t>VA12</t>
  </si>
  <si>
    <t>VD12-13</t>
  </si>
  <si>
    <t>DVA</t>
  </si>
  <si>
    <t>DVB</t>
  </si>
  <si>
    <t>DVC</t>
  </si>
  <si>
    <t>ALN</t>
  </si>
  <si>
    <t>LUA</t>
  </si>
  <si>
    <t>PHA</t>
  </si>
  <si>
    <t>PHB</t>
  </si>
  <si>
    <t>PHC</t>
  </si>
  <si>
    <t>PLM</t>
  </si>
  <si>
    <t>PVC</t>
  </si>
  <si>
    <t>PVN</t>
  </si>
  <si>
    <t>PVQ</t>
  </si>
  <si>
    <t>PVW</t>
  </si>
  <si>
    <t>PVR</t>
  </si>
  <si>
    <t>PQR</t>
  </si>
  <si>
    <t>PLN</t>
  </si>
  <si>
    <t>RIA</t>
  </si>
  <si>
    <t>SDQL</t>
  </si>
  <si>
    <t>SDQR</t>
  </si>
  <si>
    <t>Ventral
Nerve
Cord</t>
  </si>
  <si>
    <t>Anterior
Ganglion</t>
  </si>
  <si>
    <t>Anterior
Pharyngeal
Bulb</t>
  </si>
  <si>
    <t>Dorsal
Ganglion</t>
  </si>
  <si>
    <t>Lateral
Ganglion</t>
  </si>
  <si>
    <t>Ventral
Ganglion</t>
  </si>
  <si>
    <t>Posterior
Pharyngeal
Bulb</t>
  </si>
  <si>
    <t>Retro
Vesicular
Ganglion</t>
  </si>
  <si>
    <t>Midbody
Neurons</t>
  </si>
  <si>
    <t>Pre
Anal
Ganglion</t>
  </si>
  <si>
    <t>Lumbar
Ganglion</t>
  </si>
  <si>
    <t>Dorso
Rectal
Ganglion</t>
  </si>
  <si>
    <t>Red Value</t>
  </si>
  <si>
    <t>Green Value</t>
  </si>
  <si>
    <t>Blue Value</t>
  </si>
  <si>
    <t>Red Value
Comp</t>
  </si>
  <si>
    <t>Green Value
Comp</t>
  </si>
  <si>
    <t>Blue Value
Comp</t>
  </si>
  <si>
    <t>SABD/V</t>
  </si>
  <si>
    <t>OLQD</t>
  </si>
  <si>
    <t>OLQV</t>
  </si>
  <si>
    <t>URAD</t>
  </si>
  <si>
    <t>URAV</t>
  </si>
  <si>
    <t>URYD</t>
  </si>
  <si>
    <t>URYV</t>
  </si>
  <si>
    <t>IL1D</t>
  </si>
  <si>
    <t>IL1V</t>
  </si>
  <si>
    <t>IL2D</t>
  </si>
  <si>
    <t>IL2V</t>
  </si>
  <si>
    <t>SIAD</t>
  </si>
  <si>
    <t>SIAV</t>
  </si>
  <si>
    <t>SMBD</t>
  </si>
  <si>
    <t>SMBV</t>
  </si>
  <si>
    <t>AWC(OFF)</t>
  </si>
  <si>
    <t>AWC(ON)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</si>
</sst>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i/>
      <sz val="12"/>
      <color theme="1"/>
      <name val="Arial"/>
      <family val="2"/>
    </font>
    <font>
      <sz val="12"/>
      <color theme="0"/>
      <name val="Arial"/>
      <family val="2"/>
    </font>
    <font>
      <sz val="12"/>
      <color rgb="FF5685BA"/>
      <name val="Arial"/>
      <family val="2"/>
    </font>
    <font>
      <sz val="12"/>
      <color rgb="FF8A5EF6"/>
      <name val="Arial"/>
      <family val="2"/>
    </font>
    <font>
      <sz val="12"/>
      <color rgb="FFCB5F5B"/>
      <name val="Arial"/>
      <family val="2"/>
    </font>
    <font>
      <sz val="12"/>
      <color rgb="FFFD7855"/>
      <name val="Arial"/>
      <family val="2"/>
    </font>
    <font>
      <sz val="12"/>
      <color rgb="FFC766EB"/>
      <name val="Arial"/>
      <family val="2"/>
    </font>
    <font>
      <b/>
      <sz val="12"/>
      <color theme="1"/>
      <name val="Calibri"/>
      <family val="2"/>
      <scheme val="minor"/>
    </font>
  </fonts>
  <fills count="1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C535D"/>
        <bgColor indexed="64"/>
      </patternFill>
    </fill>
    <fill>
      <patternFill patternType="solid">
        <fgColor rgb="FFE196E1"/>
        <bgColor indexed="64"/>
      </patternFill>
    </fill>
    <fill>
      <patternFill patternType="solid">
        <fgColor rgb="FF343FCB"/>
        <bgColor indexed="64"/>
      </patternFill>
    </fill>
    <fill>
      <patternFill patternType="solid">
        <fgColor rgb="FF55C435"/>
        <bgColor indexed="64"/>
      </patternFill>
    </fill>
    <fill>
      <patternFill patternType="solid">
        <fgColor rgb="FFA6699E"/>
        <bgColor indexed="64"/>
      </patternFill>
    </fill>
    <fill>
      <patternFill patternType="solid">
        <fgColor rgb="FFBBC53F"/>
        <bgColor indexed="64"/>
      </patternFill>
    </fill>
    <fill>
      <patternFill patternType="solid">
        <fgColor rgb="FF68E6FC"/>
        <bgColor indexed="64"/>
      </patternFill>
    </fill>
    <fill>
      <patternFill patternType="solid">
        <fgColor rgb="FF75F94C"/>
        <bgColor indexed="64"/>
      </patternFill>
    </fill>
    <fill>
      <patternFill patternType="solid">
        <fgColor rgb="FF9471F7"/>
        <bgColor indexed="64"/>
      </patternFill>
    </fill>
    <fill>
      <patternFill patternType="solid">
        <fgColor rgb="FF3B44D7"/>
        <bgColor indexed="64"/>
      </patternFill>
    </fill>
    <fill>
      <patternFill patternType="solid">
        <fgColor rgb="FF3E814F"/>
        <bgColor indexed="64"/>
      </patternFill>
    </fill>
    <fill>
      <patternFill patternType="solid">
        <fgColor rgb="FF57C4F7"/>
        <bgColor indexed="64"/>
      </patternFill>
    </fill>
    <fill>
      <patternFill patternType="solid">
        <fgColor rgb="FFC16F74"/>
        <bgColor indexed="64"/>
      </patternFill>
    </fill>
    <fill>
      <patternFill patternType="solid">
        <fgColor rgb="FFF2D046"/>
        <bgColor indexed="64"/>
      </patternFill>
    </fill>
    <fill>
      <patternFill patternType="solid">
        <fgColor rgb="FF443E32"/>
        <bgColor indexed="64"/>
      </patternFill>
    </fill>
    <fill>
      <patternFill patternType="solid">
        <fgColor rgb="FF475F46"/>
        <bgColor indexed="64"/>
      </patternFill>
    </fill>
    <fill>
      <patternFill patternType="solid">
        <fgColor rgb="FF3D5535"/>
        <bgColor indexed="64"/>
      </patternFill>
    </fill>
    <fill>
      <patternFill patternType="solid">
        <fgColor rgb="FF3647D3"/>
        <bgColor indexed="64"/>
      </patternFill>
    </fill>
    <fill>
      <patternFill patternType="solid">
        <fgColor rgb="FFCF5147"/>
        <bgColor indexed="64"/>
      </patternFill>
    </fill>
    <fill>
      <patternFill patternType="solid">
        <fgColor rgb="FFD25563"/>
        <bgColor indexed="64"/>
      </patternFill>
    </fill>
    <fill>
      <patternFill patternType="solid">
        <fgColor rgb="FF57A34C"/>
        <bgColor indexed="64"/>
      </patternFill>
    </fill>
    <fill>
      <patternFill patternType="solid">
        <fgColor rgb="FF8D557B"/>
        <bgColor indexed="64"/>
      </patternFill>
    </fill>
    <fill>
      <patternFill patternType="solid">
        <fgColor rgb="FFD5FB52"/>
        <bgColor indexed="64"/>
      </patternFill>
    </fill>
    <fill>
      <patternFill patternType="solid">
        <fgColor rgb="FF2E3BA2"/>
        <bgColor indexed="64"/>
      </patternFill>
    </fill>
    <fill>
      <patternFill patternType="solid">
        <fgColor rgb="FF486A87"/>
        <bgColor indexed="64"/>
      </patternFill>
    </fill>
    <fill>
      <patternFill patternType="solid">
        <fgColor rgb="FF96FBD6"/>
        <bgColor indexed="64"/>
      </patternFill>
    </fill>
    <fill>
      <patternFill patternType="solid">
        <fgColor rgb="FF7CFA7E"/>
        <bgColor indexed="64"/>
      </patternFill>
    </fill>
    <fill>
      <patternFill patternType="solid">
        <fgColor rgb="FF566D3B"/>
        <bgColor indexed="64"/>
      </patternFill>
    </fill>
    <fill>
      <patternFill patternType="solid">
        <fgColor rgb="FF478137"/>
        <bgColor indexed="64"/>
      </patternFill>
    </fill>
    <fill>
      <patternFill patternType="solid">
        <fgColor rgb="FF485D4B"/>
        <bgColor indexed="64"/>
      </patternFill>
    </fill>
    <fill>
      <patternFill patternType="solid">
        <fgColor rgb="FF43613D"/>
        <bgColor indexed="64"/>
      </patternFill>
    </fill>
    <fill>
      <patternFill patternType="solid">
        <fgColor rgb="FF9194F8"/>
        <bgColor indexed="64"/>
      </patternFill>
    </fill>
    <fill>
      <patternFill patternType="solid">
        <fgColor rgb="FFF6FC64"/>
        <bgColor indexed="64"/>
      </patternFill>
    </fill>
    <fill>
      <patternFill patternType="solid">
        <fgColor rgb="FFFCEBBB"/>
        <bgColor indexed="64"/>
      </patternFill>
    </fill>
    <fill>
      <patternFill patternType="solid">
        <fgColor rgb="FF324DF5"/>
        <bgColor indexed="64"/>
      </patternFill>
    </fill>
    <fill>
      <patternFill patternType="solid">
        <fgColor rgb="FFB460BA"/>
        <bgColor indexed="64"/>
      </patternFill>
    </fill>
    <fill>
      <patternFill patternType="solid">
        <fgColor rgb="FF569D59"/>
        <bgColor indexed="64"/>
      </patternFill>
    </fill>
    <fill>
      <patternFill patternType="solid">
        <fgColor rgb="FF678854"/>
        <bgColor indexed="64"/>
      </patternFill>
    </fill>
    <fill>
      <patternFill patternType="solid">
        <fgColor rgb="FF85EAA6"/>
        <bgColor indexed="64"/>
      </patternFill>
    </fill>
    <fill>
      <patternFill patternType="solid">
        <fgColor rgb="FF886E84"/>
        <bgColor indexed="64"/>
      </patternFill>
    </fill>
    <fill>
      <patternFill patternType="solid">
        <fgColor rgb="FF9E544A"/>
        <bgColor indexed="64"/>
      </patternFill>
    </fill>
    <fill>
      <patternFill patternType="solid">
        <fgColor rgb="FF506F4F"/>
        <bgColor indexed="64"/>
      </patternFill>
    </fill>
    <fill>
      <patternFill patternType="solid">
        <fgColor rgb="FF60559E"/>
        <bgColor indexed="64"/>
      </patternFill>
    </fill>
    <fill>
      <patternFill patternType="solid">
        <fgColor rgb="FF5D8FCC"/>
        <bgColor indexed="64"/>
      </patternFill>
    </fill>
    <fill>
      <patternFill patternType="solid">
        <fgColor rgb="FFE1DA81"/>
        <bgColor indexed="64"/>
      </patternFill>
    </fill>
    <fill>
      <patternFill patternType="solid">
        <fgColor rgb="FFEF7D4C"/>
        <bgColor indexed="64"/>
      </patternFill>
    </fill>
    <fill>
      <patternFill patternType="solid">
        <fgColor rgb="FFF2A09D"/>
        <bgColor indexed="64"/>
      </patternFill>
    </fill>
    <fill>
      <patternFill patternType="solid">
        <fgColor rgb="FF4B7B7F"/>
        <bgColor indexed="64"/>
      </patternFill>
    </fill>
    <fill>
      <patternFill patternType="solid">
        <fgColor rgb="FF5CAD55"/>
        <bgColor indexed="64"/>
      </patternFill>
    </fill>
    <fill>
      <patternFill patternType="solid">
        <fgColor rgb="FFD15A69"/>
        <bgColor indexed="64"/>
      </patternFill>
    </fill>
    <fill>
      <patternFill patternType="solid">
        <fgColor rgb="FF7DF366"/>
        <bgColor indexed="64"/>
      </patternFill>
    </fill>
    <fill>
      <patternFill patternType="solid">
        <fgColor rgb="FFD3B24A"/>
        <bgColor indexed="64"/>
      </patternFill>
    </fill>
    <fill>
      <patternFill patternType="solid">
        <fgColor rgb="FF2C42F5"/>
        <bgColor indexed="64"/>
      </patternFill>
    </fill>
    <fill>
      <patternFill patternType="solid">
        <fgColor rgb="FF5C8D95"/>
        <bgColor indexed="64"/>
      </patternFill>
    </fill>
    <fill>
      <patternFill patternType="solid">
        <fgColor rgb="FF5F4D9D"/>
        <bgColor indexed="64"/>
      </patternFill>
    </fill>
    <fill>
      <patternFill patternType="solid">
        <fgColor rgb="FF93C87D"/>
        <bgColor indexed="64"/>
      </patternFill>
    </fill>
    <fill>
      <patternFill patternType="solid">
        <fgColor rgb="FF415DF6"/>
        <bgColor indexed="64"/>
      </patternFill>
    </fill>
    <fill>
      <patternFill patternType="solid">
        <fgColor rgb="FFED5F51"/>
        <bgColor indexed="64"/>
      </patternFill>
    </fill>
    <fill>
      <patternFill patternType="solid">
        <fgColor rgb="FF41687D"/>
        <bgColor indexed="64"/>
      </patternFill>
    </fill>
    <fill>
      <patternFill patternType="solid">
        <fgColor rgb="FF3D47E5"/>
        <bgColor indexed="64"/>
      </patternFill>
    </fill>
    <fill>
      <patternFill patternType="solid">
        <fgColor rgb="FF558BF4"/>
        <bgColor indexed="64"/>
      </patternFill>
    </fill>
    <fill>
      <patternFill patternType="solid">
        <fgColor rgb="FFBACB74"/>
        <bgColor indexed="64"/>
      </patternFill>
    </fill>
    <fill>
      <patternFill patternType="solid">
        <fgColor rgb="FF41605A"/>
        <bgColor indexed="64"/>
      </patternFill>
    </fill>
    <fill>
      <patternFill patternType="solid">
        <fgColor rgb="FF425E59"/>
        <bgColor indexed="64"/>
      </patternFill>
    </fill>
    <fill>
      <patternFill patternType="solid">
        <fgColor rgb="FF4243F5"/>
        <bgColor indexed="64"/>
      </patternFill>
    </fill>
    <fill>
      <patternFill patternType="solid">
        <fgColor rgb="FF475C48"/>
        <bgColor indexed="64"/>
      </patternFill>
    </fill>
    <fill>
      <patternFill patternType="solid">
        <fgColor rgb="FF374656"/>
        <bgColor indexed="64"/>
      </patternFill>
    </fill>
    <fill>
      <patternFill patternType="solid">
        <fgColor rgb="FF8CF3CC"/>
        <bgColor indexed="64"/>
      </patternFill>
    </fill>
    <fill>
      <patternFill patternType="solid">
        <fgColor rgb="FF66B7F9"/>
        <bgColor indexed="64"/>
      </patternFill>
    </fill>
    <fill>
      <patternFill patternType="solid">
        <fgColor rgb="FFB958D4"/>
        <bgColor indexed="64"/>
      </patternFill>
    </fill>
    <fill>
      <patternFill patternType="solid">
        <fgColor rgb="FFC658A4"/>
        <bgColor indexed="64"/>
      </patternFill>
    </fill>
    <fill>
      <patternFill patternType="solid">
        <fgColor rgb="FFFD563F"/>
        <bgColor indexed="64"/>
      </patternFill>
    </fill>
    <fill>
      <patternFill patternType="solid">
        <fgColor rgb="FFFFF3A6"/>
        <bgColor indexed="64"/>
      </patternFill>
    </fill>
    <fill>
      <patternFill patternType="solid">
        <fgColor rgb="FF4651FB"/>
        <bgColor indexed="64"/>
      </patternFill>
    </fill>
    <fill>
      <patternFill patternType="solid">
        <fgColor rgb="FFFFFF8A"/>
        <bgColor indexed="64"/>
      </patternFill>
    </fill>
    <fill>
      <patternFill patternType="solid">
        <fgColor rgb="FF63FFFF"/>
        <bgColor indexed="64"/>
      </patternFill>
    </fill>
    <fill>
      <patternFill patternType="solid">
        <fgColor rgb="FFFFAEF3"/>
        <bgColor indexed="64"/>
      </patternFill>
    </fill>
    <fill>
      <patternFill patternType="solid">
        <fgColor rgb="FFFFA967"/>
        <bgColor indexed="64"/>
      </patternFill>
    </fill>
    <fill>
      <patternFill patternType="solid">
        <fgColor rgb="FF3955FF"/>
        <bgColor indexed="64"/>
      </patternFill>
    </fill>
    <fill>
      <patternFill patternType="solid">
        <fgColor rgb="FF48FF43"/>
        <bgColor indexed="64"/>
      </patternFill>
    </fill>
    <fill>
      <patternFill patternType="solid">
        <fgColor rgb="FFBBE450"/>
        <bgColor indexed="64"/>
      </patternFill>
    </fill>
    <fill>
      <patternFill patternType="solid">
        <fgColor rgb="FFEF5F89"/>
        <bgColor indexed="64"/>
      </patternFill>
    </fill>
    <fill>
      <patternFill patternType="solid">
        <fgColor rgb="FF54F047"/>
        <bgColor indexed="64"/>
      </patternFill>
    </fill>
    <fill>
      <patternFill patternType="solid">
        <fgColor rgb="FF73F54B"/>
        <bgColor indexed="64"/>
      </patternFill>
    </fill>
    <fill>
      <patternFill patternType="solid">
        <fgColor rgb="FF7A603E"/>
        <bgColor indexed="64"/>
      </patternFill>
    </fill>
    <fill>
      <patternFill patternType="solid">
        <fgColor rgb="FF765E40"/>
        <bgColor indexed="64"/>
      </patternFill>
    </fill>
    <fill>
      <patternFill patternType="solid">
        <fgColor rgb="FFFFFD54"/>
        <bgColor indexed="64"/>
      </patternFill>
    </fill>
    <fill>
      <patternFill patternType="solid">
        <fgColor rgb="FF3B9756"/>
        <bgColor indexed="64"/>
      </patternFill>
    </fill>
    <fill>
      <patternFill patternType="solid">
        <fgColor rgb="FF456E9E"/>
        <bgColor indexed="64"/>
      </patternFill>
    </fill>
    <fill>
      <patternFill patternType="solid">
        <fgColor rgb="FF9D3FFF"/>
        <bgColor indexed="64"/>
      </patternFill>
    </fill>
    <fill>
      <patternFill patternType="solid">
        <fgColor rgb="FFD6FFE1"/>
        <bgColor indexed="64"/>
      </patternFill>
    </fill>
    <fill>
      <patternFill patternType="solid">
        <fgColor rgb="FF3C3CFF"/>
        <bgColor indexed="64"/>
      </patternFill>
    </fill>
    <fill>
      <patternFill patternType="solid">
        <fgColor rgb="FF7EF6E3"/>
        <bgColor indexed="64"/>
      </patternFill>
    </fill>
    <fill>
      <patternFill patternType="solid">
        <fgColor rgb="FF3C43B9"/>
        <bgColor indexed="64"/>
      </patternFill>
    </fill>
    <fill>
      <patternFill patternType="solid">
        <fgColor rgb="FF9ADA56"/>
        <bgColor indexed="64"/>
      </patternFill>
    </fill>
    <fill>
      <patternFill patternType="solid">
        <fgColor rgb="FFB0AAE1"/>
        <bgColor indexed="64"/>
      </patternFill>
    </fill>
    <fill>
      <patternFill patternType="solid">
        <fgColor rgb="FF94E8C6"/>
        <bgColor indexed="64"/>
      </patternFill>
    </fill>
    <fill>
      <patternFill patternType="solid">
        <fgColor rgb="FFFA6172"/>
        <bgColor indexed="64"/>
      </patternFill>
    </fill>
    <fill>
      <patternFill patternType="solid">
        <fgColor rgb="FF4646FF"/>
        <bgColor indexed="64"/>
      </patternFill>
    </fill>
    <fill>
      <patternFill patternType="solid">
        <fgColor rgb="FFC8FF47"/>
        <bgColor indexed="64"/>
      </patternFill>
    </fill>
    <fill>
      <patternFill patternType="solid">
        <fgColor rgb="FFEC8D3E"/>
        <bgColor indexed="64"/>
      </patternFill>
    </fill>
    <fill>
      <patternFill patternType="solid">
        <fgColor rgb="FF44FC5C"/>
        <bgColor indexed="64"/>
      </patternFill>
    </fill>
    <fill>
      <patternFill patternType="solid">
        <fgColor rgb="FF47B347"/>
        <bgColor indexed="64"/>
      </patternFill>
    </fill>
    <fill>
      <patternFill patternType="solid">
        <fgColor rgb="FF6CBFFF"/>
        <bgColor indexed="64"/>
      </patternFill>
    </fill>
    <fill>
      <patternFill patternType="solid">
        <fgColor rgb="FFEC6B43"/>
        <bgColor indexed="64"/>
      </patternFill>
    </fill>
    <fill>
      <patternFill patternType="solid">
        <fgColor rgb="FF71BDC7"/>
        <bgColor indexed="64"/>
      </patternFill>
    </fill>
    <fill>
      <patternFill patternType="solid">
        <fgColor rgb="FF45FFCB"/>
        <bgColor indexed="64"/>
      </patternFill>
    </fill>
    <fill>
      <patternFill patternType="solid">
        <fgColor rgb="FF60FF7B"/>
        <bgColor indexed="64"/>
      </patternFill>
    </fill>
    <fill>
      <patternFill patternType="solid">
        <fgColor rgb="FFFFFF7D"/>
        <bgColor indexed="64"/>
      </patternFill>
    </fill>
    <fill>
      <patternFill patternType="solid">
        <fgColor rgb="FF9CF740"/>
        <bgColor indexed="64"/>
      </patternFill>
    </fill>
    <fill>
      <patternFill patternType="solid">
        <fgColor rgb="FF8CA955"/>
        <bgColor indexed="64"/>
      </patternFill>
    </fill>
    <fill>
      <patternFill patternType="solid">
        <fgColor rgb="FFE4B8FB"/>
        <bgColor indexed="64"/>
      </patternFill>
    </fill>
    <fill>
      <patternFill patternType="mediumGray">
        <fgColor theme="0" tint="-0.499984740745262"/>
        <bgColor theme="0"/>
      </patternFill>
    </fill>
    <fill>
      <patternFill patternType="solid">
        <fgColor rgb="FFFC5441"/>
        <bgColor indexed="64"/>
      </patternFill>
    </fill>
    <fill>
      <patternFill patternType="solid">
        <fgColor rgb="FFF85A3F"/>
        <bgColor indexed="64"/>
      </patternFill>
    </fill>
    <fill>
      <patternFill patternType="solid">
        <fgColor rgb="FF7896F1"/>
        <bgColor indexed="64"/>
      </patternFill>
    </fill>
    <fill>
      <patternFill patternType="solid">
        <fgColor rgb="FF412AF2"/>
        <bgColor indexed="64"/>
      </patternFill>
    </fill>
    <fill>
      <patternFill patternType="solid">
        <fgColor rgb="FF6233F1"/>
        <bgColor indexed="64"/>
      </patternFill>
    </fill>
    <fill>
      <patternFill patternType="solid">
        <fgColor rgb="FFAF92AB"/>
        <bgColor indexed="64"/>
      </patternFill>
    </fill>
    <fill>
      <patternFill patternType="solid">
        <fgColor rgb="FF32A333"/>
        <bgColor indexed="64"/>
      </patternFill>
    </fill>
    <fill>
      <patternFill patternType="solid">
        <fgColor rgb="FF39C635"/>
        <bgColor indexed="64"/>
      </patternFill>
    </fill>
    <fill>
      <patternFill patternType="solid">
        <fgColor rgb="FF5FFE3D"/>
        <bgColor indexed="64"/>
      </patternFill>
    </fill>
    <fill>
      <patternFill patternType="solid">
        <fgColor rgb="FF8E7339"/>
        <bgColor indexed="64"/>
      </patternFill>
    </fill>
  </fills>
  <borders count="26">
    <border>
      <left/>
      <right/>
      <top/>
      <bottom/>
      <diagonal/>
    </border>
    <border>
      <left style="thick">
        <color theme="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ck">
        <color theme="1"/>
      </left>
      <right style="thin">
        <color theme="1"/>
      </right>
      <top style="thick">
        <color theme="1"/>
      </top>
      <bottom style="thin">
        <color theme="1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 style="thin">
        <color theme="1"/>
      </bottom>
      <diagonal/>
    </border>
    <border>
      <left style="thick">
        <color theme="1"/>
      </left>
      <right style="thick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ck">
        <color theme="1"/>
      </right>
      <top style="thin">
        <color theme="1"/>
      </top>
      <bottom style="thick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ck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ck">
        <color theme="1"/>
      </bottom>
      <diagonal/>
    </border>
    <border>
      <left/>
      <right/>
      <top style="thin">
        <color theme="1"/>
      </top>
      <bottom style="thick">
        <color theme="1"/>
      </bottom>
      <diagonal/>
    </border>
    <border diagonalUp="1" diagonalDown="1">
      <left style="thick">
        <color theme="1"/>
      </left>
      <right style="thick">
        <color theme="1"/>
      </right>
      <top style="thin">
        <color theme="1"/>
      </top>
      <bottom style="thin">
        <color theme="1"/>
      </bottom>
      <diagonal style="thick">
        <color theme="1"/>
      </diagonal>
    </border>
    <border>
      <left style="thin">
        <color theme="1"/>
      </left>
      <right/>
      <top style="thick">
        <color theme="1"/>
      </top>
      <bottom/>
      <diagonal/>
    </border>
    <border>
      <left style="thin">
        <color theme="1"/>
      </left>
      <right/>
      <top style="thick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ck">
        <color theme="1"/>
      </bottom>
      <diagonal/>
    </border>
    <border>
      <left style="thin">
        <color theme="1"/>
      </left>
      <right/>
      <top/>
      <bottom style="thick">
        <color theme="1"/>
      </bottom>
      <diagonal/>
    </border>
    <border>
      <left/>
      <right/>
      <top style="thick">
        <color theme="1"/>
      </top>
      <bottom style="thick">
        <color theme="1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/>
      <diagonal/>
    </border>
    <border>
      <left style="thick">
        <color theme="1"/>
      </left>
      <right style="thick">
        <color theme="1"/>
      </right>
      <top style="thin">
        <color theme="1"/>
      </top>
      <bottom style="thin">
        <color indexed="64"/>
      </bottom>
      <diagonal/>
    </border>
    <border>
      <left style="thick">
        <color theme="1"/>
      </left>
      <right style="thick">
        <color theme="1"/>
      </right>
      <top/>
      <bottom style="thick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</borders>
  <cellStyleXfs count="1">
    <xf numFmtId="0" fontId="0" fillId="0" borderId="0"/>
  </cellStyleXfs>
  <cellXfs count="15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1" fillId="2" borderId="5" xfId="0" applyFont="1" applyFill="1" applyBorder="1"/>
    <xf numFmtId="0" fontId="1" fillId="0" borderId="5" xfId="0" applyFont="1" applyBorder="1"/>
    <xf numFmtId="0" fontId="1" fillId="4" borderId="9" xfId="0" applyFont="1" applyFill="1" applyBorder="1"/>
    <xf numFmtId="0" fontId="1" fillId="8" borderId="9" xfId="0" applyFont="1" applyFill="1" applyBorder="1"/>
    <xf numFmtId="0" fontId="1" fillId="9" borderId="9" xfId="0" applyFont="1" applyFill="1" applyBorder="1"/>
    <xf numFmtId="0" fontId="1" fillId="10" borderId="9" xfId="0" applyFont="1" applyFill="1" applyBorder="1"/>
    <xf numFmtId="0" fontId="1" fillId="115" borderId="9" xfId="0" applyFont="1" applyFill="1" applyBorder="1"/>
    <xf numFmtId="0" fontId="1" fillId="11" borderId="9" xfId="0" applyFont="1" applyFill="1" applyBorder="1"/>
    <xf numFmtId="0" fontId="1" fillId="12" borderId="9" xfId="0" applyFont="1" applyFill="1" applyBorder="1"/>
    <xf numFmtId="0" fontId="1" fillId="13" borderId="9" xfId="0" applyFont="1" applyFill="1" applyBorder="1"/>
    <xf numFmtId="0" fontId="1" fillId="15" borderId="9" xfId="0" applyFont="1" applyFill="1" applyBorder="1"/>
    <xf numFmtId="0" fontId="1" fillId="16" borderId="9" xfId="0" applyFont="1" applyFill="1" applyBorder="1"/>
    <xf numFmtId="0" fontId="1" fillId="18" borderId="9" xfId="0" applyFont="1" applyFill="1" applyBorder="1"/>
    <xf numFmtId="0" fontId="1" fillId="19" borderId="9" xfId="0" applyFont="1" applyFill="1" applyBorder="1"/>
    <xf numFmtId="0" fontId="1" fillId="20" borderId="9" xfId="0" applyFont="1" applyFill="1" applyBorder="1"/>
    <xf numFmtId="0" fontId="1" fillId="21" borderId="9" xfId="0" applyFont="1" applyFill="1" applyBorder="1"/>
    <xf numFmtId="0" fontId="1" fillId="23" borderId="9" xfId="0" applyFont="1" applyFill="1" applyBorder="1"/>
    <xf numFmtId="0" fontId="1" fillId="24" borderId="9" xfId="0" applyFont="1" applyFill="1" applyBorder="1"/>
    <xf numFmtId="0" fontId="1" fillId="25" borderId="9" xfId="0" applyFont="1" applyFill="1" applyBorder="1"/>
    <xf numFmtId="0" fontId="1" fillId="27" borderId="9" xfId="0" applyFont="1" applyFill="1" applyBorder="1"/>
    <xf numFmtId="0" fontId="1" fillId="26" borderId="9" xfId="0" applyFont="1" applyFill="1" applyBorder="1"/>
    <xf numFmtId="0" fontId="1" fillId="29" borderId="9" xfId="0" applyFont="1" applyFill="1" applyBorder="1"/>
    <xf numFmtId="0" fontId="1" fillId="30" borderId="9" xfId="0" applyFont="1" applyFill="1" applyBorder="1"/>
    <xf numFmtId="0" fontId="1" fillId="31" borderId="9" xfId="0" applyFont="1" applyFill="1" applyBorder="1"/>
    <xf numFmtId="0" fontId="1" fillId="32" borderId="9" xfId="0" applyFont="1" applyFill="1" applyBorder="1"/>
    <xf numFmtId="0" fontId="1" fillId="33" borderId="9" xfId="0" applyFont="1" applyFill="1" applyBorder="1"/>
    <xf numFmtId="0" fontId="1" fillId="22" borderId="9" xfId="0" applyFont="1" applyFill="1" applyBorder="1"/>
    <xf numFmtId="0" fontId="1" fillId="34" borderId="9" xfId="0" applyFont="1" applyFill="1" applyBorder="1"/>
    <xf numFmtId="0" fontId="1" fillId="35" borderId="9" xfId="0" applyFont="1" applyFill="1" applyBorder="1"/>
    <xf numFmtId="0" fontId="1" fillId="36" borderId="9" xfId="0" applyFont="1" applyFill="1" applyBorder="1"/>
    <xf numFmtId="0" fontId="1" fillId="37" borderId="9" xfId="0" applyFont="1" applyFill="1" applyBorder="1"/>
    <xf numFmtId="0" fontId="1" fillId="38" borderId="9" xfId="0" applyFont="1" applyFill="1" applyBorder="1"/>
    <xf numFmtId="0" fontId="1" fillId="39" borderId="9" xfId="0" applyFont="1" applyFill="1" applyBorder="1"/>
    <xf numFmtId="0" fontId="1" fillId="28" borderId="9" xfId="0" applyFont="1" applyFill="1" applyBorder="1"/>
    <xf numFmtId="0" fontId="1" fillId="40" borderId="9" xfId="0" applyFont="1" applyFill="1" applyBorder="1"/>
    <xf numFmtId="0" fontId="1" fillId="42" borderId="9" xfId="0" applyFont="1" applyFill="1" applyBorder="1"/>
    <xf numFmtId="0" fontId="1" fillId="41" borderId="9" xfId="0" applyFont="1" applyFill="1" applyBorder="1"/>
    <xf numFmtId="0" fontId="1" fillId="43" borderId="9" xfId="0" applyFont="1" applyFill="1" applyBorder="1"/>
    <xf numFmtId="0" fontId="4" fillId="44" borderId="9" xfId="0" applyFont="1" applyFill="1" applyBorder="1"/>
    <xf numFmtId="0" fontId="1" fillId="45" borderId="9" xfId="0" applyFont="1" applyFill="1" applyBorder="1"/>
    <xf numFmtId="0" fontId="1" fillId="47" borderId="9" xfId="0" applyFont="1" applyFill="1" applyBorder="1"/>
    <xf numFmtId="0" fontId="1" fillId="46" borderId="9" xfId="0" applyFont="1" applyFill="1" applyBorder="1"/>
    <xf numFmtId="0" fontId="1" fillId="48" borderId="9" xfId="0" applyFont="1" applyFill="1" applyBorder="1"/>
    <xf numFmtId="0" fontId="1" fillId="49" borderId="9" xfId="0" applyFont="1" applyFill="1" applyBorder="1"/>
    <xf numFmtId="0" fontId="1" fillId="50" borderId="9" xfId="0" applyFont="1" applyFill="1" applyBorder="1"/>
    <xf numFmtId="0" fontId="1" fillId="52" borderId="9" xfId="0" applyFont="1" applyFill="1" applyBorder="1"/>
    <xf numFmtId="0" fontId="1" fillId="53" borderId="9" xfId="0" applyFont="1" applyFill="1" applyBorder="1"/>
    <xf numFmtId="0" fontId="1" fillId="55" borderId="9" xfId="0" applyFont="1" applyFill="1" applyBorder="1"/>
    <xf numFmtId="0" fontId="1" fillId="114" borderId="9" xfId="0" applyFont="1" applyFill="1" applyBorder="1"/>
    <xf numFmtId="0" fontId="1" fillId="56" borderId="9" xfId="0" applyFont="1" applyFill="1" applyBorder="1"/>
    <xf numFmtId="0" fontId="1" fillId="57" borderId="9" xfId="0" applyFont="1" applyFill="1" applyBorder="1"/>
    <xf numFmtId="0" fontId="1" fillId="58" borderId="9" xfId="0" applyFont="1" applyFill="1" applyBorder="1"/>
    <xf numFmtId="0" fontId="1" fillId="59" borderId="9" xfId="0" applyFont="1" applyFill="1" applyBorder="1"/>
    <xf numFmtId="0" fontId="1" fillId="60" borderId="9" xfId="0" applyFont="1" applyFill="1" applyBorder="1"/>
    <xf numFmtId="0" fontId="1" fillId="61" borderId="9" xfId="0" applyFont="1" applyFill="1" applyBorder="1"/>
    <xf numFmtId="0" fontId="1" fillId="62" borderId="9" xfId="0" applyFont="1" applyFill="1" applyBorder="1"/>
    <xf numFmtId="0" fontId="5" fillId="63" borderId="9" xfId="0" applyFont="1" applyFill="1" applyBorder="1"/>
    <xf numFmtId="0" fontId="1" fillId="65" borderId="9" xfId="0" applyFont="1" applyFill="1" applyBorder="1"/>
    <xf numFmtId="0" fontId="1" fillId="66" borderId="9" xfId="0" applyFont="1" applyFill="1" applyBorder="1"/>
    <xf numFmtId="0" fontId="1" fillId="67" borderId="9" xfId="0" applyFont="1" applyFill="1" applyBorder="1"/>
    <xf numFmtId="0" fontId="1" fillId="70" borderId="9" xfId="0" applyFont="1" applyFill="1" applyBorder="1"/>
    <xf numFmtId="0" fontId="1" fillId="75" borderId="9" xfId="0" applyFont="1" applyFill="1" applyBorder="1"/>
    <xf numFmtId="0" fontId="1" fillId="71" borderId="9" xfId="0" applyFont="1" applyFill="1" applyBorder="1"/>
    <xf numFmtId="0" fontId="6" fillId="72" borderId="9" xfId="0" applyFont="1" applyFill="1" applyBorder="1"/>
    <xf numFmtId="0" fontId="7" fillId="74" borderId="9" xfId="0" applyFont="1" applyFill="1" applyBorder="1"/>
    <xf numFmtId="0" fontId="1" fillId="73" borderId="9" xfId="0" applyFont="1" applyFill="1" applyBorder="1"/>
    <xf numFmtId="0" fontId="1" fillId="83" borderId="9" xfId="0" applyFont="1" applyFill="1" applyBorder="1"/>
    <xf numFmtId="0" fontId="1" fillId="77" borderId="9" xfId="0" applyFont="1" applyFill="1" applyBorder="1"/>
    <xf numFmtId="0" fontId="1" fillId="78" borderId="9" xfId="0" applyFont="1" applyFill="1" applyBorder="1"/>
    <xf numFmtId="0" fontId="8" fillId="80" borderId="9" xfId="0" applyFont="1" applyFill="1" applyBorder="1"/>
    <xf numFmtId="0" fontId="9" fillId="84" borderId="9" xfId="0" applyFont="1" applyFill="1" applyBorder="1"/>
    <xf numFmtId="0" fontId="1" fillId="79" borderId="9" xfId="0" applyFont="1" applyFill="1" applyBorder="1"/>
    <xf numFmtId="0" fontId="1" fillId="110" borderId="9" xfId="0" applyFont="1" applyFill="1" applyBorder="1"/>
    <xf numFmtId="0" fontId="1" fillId="107" borderId="9" xfId="0" applyFont="1" applyFill="1" applyBorder="1"/>
    <xf numFmtId="0" fontId="1" fillId="108" borderId="9" xfId="0" applyFont="1" applyFill="1" applyBorder="1"/>
    <xf numFmtId="0" fontId="1" fillId="109" borderId="9" xfId="0" applyFont="1" applyFill="1" applyBorder="1"/>
    <xf numFmtId="0" fontId="1" fillId="112" borderId="9" xfId="0" applyFont="1" applyFill="1" applyBorder="1"/>
    <xf numFmtId="0" fontId="1" fillId="102" borderId="9" xfId="0" applyFont="1" applyFill="1" applyBorder="1"/>
    <xf numFmtId="0" fontId="1" fillId="103" borderId="9" xfId="0" applyFont="1" applyFill="1" applyBorder="1"/>
    <xf numFmtId="0" fontId="1" fillId="106" borderId="9" xfId="0" applyFont="1" applyFill="1" applyBorder="1"/>
    <xf numFmtId="0" fontId="1" fillId="105" borderId="9" xfId="0" applyFont="1" applyFill="1" applyBorder="1"/>
    <xf numFmtId="0" fontId="1" fillId="98" borderId="9" xfId="0" applyFont="1" applyFill="1" applyBorder="1"/>
    <xf numFmtId="0" fontId="1" fillId="99" borderId="9" xfId="0" applyFont="1" applyFill="1" applyBorder="1"/>
    <xf numFmtId="0" fontId="1" fillId="100" borderId="9" xfId="0" applyFont="1" applyFill="1" applyBorder="1"/>
    <xf numFmtId="0" fontId="1" fillId="86" borderId="9" xfId="0" applyFont="1" applyFill="1" applyBorder="1"/>
    <xf numFmtId="0" fontId="1" fillId="90" borderId="9" xfId="0" applyFont="1" applyFill="1" applyBorder="1"/>
    <xf numFmtId="0" fontId="1" fillId="91" borderId="9" xfId="0" applyFont="1" applyFill="1" applyBorder="1"/>
    <xf numFmtId="0" fontId="1" fillId="92" borderId="9" xfId="0" applyFont="1" applyFill="1" applyBorder="1"/>
    <xf numFmtId="0" fontId="1" fillId="93" borderId="9" xfId="0" applyFont="1" applyFill="1" applyBorder="1"/>
    <xf numFmtId="0" fontId="1" fillId="88" borderId="9" xfId="0" applyFont="1" applyFill="1" applyBorder="1"/>
    <xf numFmtId="0" fontId="1" fillId="89" borderId="9" xfId="0" applyFont="1" applyFill="1" applyBorder="1"/>
    <xf numFmtId="0" fontId="1" fillId="95" borderId="9" xfId="0" applyFont="1" applyFill="1" applyBorder="1"/>
    <xf numFmtId="0" fontId="1" fillId="94" borderId="9" xfId="0" applyFont="1" applyFill="1" applyBorder="1"/>
    <xf numFmtId="0" fontId="1" fillId="96" borderId="9" xfId="0" applyFont="1" applyFill="1" applyBorder="1"/>
    <xf numFmtId="0" fontId="1" fillId="97" borderId="9" xfId="0" applyFont="1" applyFill="1" applyBorder="1"/>
    <xf numFmtId="0" fontId="1" fillId="115" borderId="10" xfId="0" applyFont="1" applyFill="1" applyBorder="1"/>
    <xf numFmtId="0" fontId="3" fillId="0" borderId="6" xfId="0" applyFont="1" applyBorder="1" applyAlignment="1">
      <alignment horizontal="center" textRotation="90"/>
    </xf>
    <xf numFmtId="0" fontId="2" fillId="0" borderId="2" xfId="0" applyFont="1" applyBorder="1" applyAlignment="1">
      <alignment horizontal="center" textRotation="90"/>
    </xf>
    <xf numFmtId="0" fontId="1" fillId="0" borderId="12" xfId="0" applyFont="1" applyBorder="1"/>
    <xf numFmtId="0" fontId="1" fillId="3" borderId="8" xfId="0" applyFont="1" applyFill="1" applyBorder="1"/>
    <xf numFmtId="0" fontId="1" fillId="0" borderId="15" xfId="0" applyFont="1" applyBorder="1"/>
    <xf numFmtId="0" fontId="2" fillId="0" borderId="1" xfId="0" applyFont="1" applyBorder="1" applyAlignment="1">
      <alignment horizontal="center"/>
    </xf>
    <xf numFmtId="0" fontId="1" fillId="14" borderId="8" xfId="0" applyFont="1" applyFill="1" applyBorder="1"/>
    <xf numFmtId="0" fontId="1" fillId="17" borderId="10" xfId="0" applyFont="1" applyFill="1" applyBorder="1"/>
    <xf numFmtId="0" fontId="1" fillId="5" borderId="8" xfId="0" applyFont="1" applyFill="1" applyBorder="1"/>
    <xf numFmtId="0" fontId="1" fillId="6" borderId="10" xfId="0" applyFont="1" applyFill="1" applyBorder="1"/>
    <xf numFmtId="0" fontId="1" fillId="7" borderId="8" xfId="0" applyFont="1" applyFill="1" applyBorder="1"/>
    <xf numFmtId="0" fontId="1" fillId="54" borderId="10" xfId="0" applyFont="1" applyFill="1" applyBorder="1"/>
    <xf numFmtId="0" fontId="1" fillId="51" borderId="8" xfId="0" applyFont="1" applyFill="1" applyBorder="1"/>
    <xf numFmtId="0" fontId="1" fillId="64" borderId="10" xfId="0" applyFont="1" applyFill="1" applyBorder="1"/>
    <xf numFmtId="0" fontId="1" fillId="115" borderId="8" xfId="0" applyFont="1" applyFill="1" applyBorder="1"/>
    <xf numFmtId="0" fontId="1" fillId="68" borderId="10" xfId="0" applyFont="1" applyFill="1" applyBorder="1"/>
    <xf numFmtId="0" fontId="1" fillId="69" borderId="8" xfId="0" applyFont="1" applyFill="1" applyBorder="1"/>
    <xf numFmtId="0" fontId="1" fillId="76" borderId="10" xfId="0" applyFont="1" applyFill="1" applyBorder="1"/>
    <xf numFmtId="0" fontId="1" fillId="82" borderId="8" xfId="0" applyFont="1" applyFill="1" applyBorder="1"/>
    <xf numFmtId="0" fontId="1" fillId="81" borderId="10" xfId="0" applyFont="1" applyFill="1" applyBorder="1"/>
    <xf numFmtId="0" fontId="1" fillId="111" borderId="8" xfId="0" applyFont="1" applyFill="1" applyBorder="1"/>
    <xf numFmtId="0" fontId="1" fillId="113" borderId="10" xfId="0" applyFont="1" applyFill="1" applyBorder="1"/>
    <xf numFmtId="0" fontId="1" fillId="104" borderId="8" xfId="0" applyFont="1" applyFill="1" applyBorder="1"/>
    <xf numFmtId="0" fontId="1" fillId="101" borderId="10" xfId="0" applyFont="1" applyFill="1" applyBorder="1"/>
    <xf numFmtId="0" fontId="1" fillId="85" borderId="8" xfId="0" applyFont="1" applyFill="1" applyBorder="1"/>
    <xf numFmtId="0" fontId="1" fillId="87" borderId="8" xfId="0" applyFont="1" applyFill="1" applyBorder="1"/>
    <xf numFmtId="0" fontId="2" fillId="0" borderId="16" xfId="0" applyFont="1" applyBorder="1"/>
    <xf numFmtId="0" fontId="1" fillId="0" borderId="17" xfId="0" applyFont="1" applyBorder="1" applyAlignment="1">
      <alignment horizontal="right" vertical="center"/>
    </xf>
    <xf numFmtId="0" fontId="1" fillId="0" borderId="18" xfId="0" applyFont="1" applyBorder="1" applyAlignment="1">
      <alignment horizontal="right" vertical="center"/>
    </xf>
    <xf numFmtId="0" fontId="1" fillId="0" borderId="3" xfId="0" applyFont="1" applyBorder="1" applyAlignment="1">
      <alignment horizontal="right" vertical="center"/>
    </xf>
    <xf numFmtId="0" fontId="1" fillId="0" borderId="19" xfId="0" applyFont="1" applyBorder="1" applyAlignment="1">
      <alignment horizontal="right" vertical="center"/>
    </xf>
    <xf numFmtId="0" fontId="1" fillId="0" borderId="20" xfId="0" applyFont="1" applyBorder="1" applyAlignment="1">
      <alignment horizontal="right" vertical="center"/>
    </xf>
    <xf numFmtId="0" fontId="1" fillId="0" borderId="11" xfId="0" applyFont="1" applyBorder="1" applyAlignment="1">
      <alignment horizontal="right" vertical="center"/>
    </xf>
    <xf numFmtId="0" fontId="1" fillId="0" borderId="4" xfId="0" applyFont="1" applyBorder="1" applyAlignment="1">
      <alignment horizontal="right" vertical="center"/>
    </xf>
    <xf numFmtId="0" fontId="2" fillId="0" borderId="21" xfId="0" applyFont="1" applyBorder="1" applyAlignment="1">
      <alignment horizontal="right"/>
    </xf>
    <xf numFmtId="0" fontId="1" fillId="116" borderId="9" xfId="0" applyFont="1" applyFill="1" applyBorder="1"/>
    <xf numFmtId="0" fontId="1" fillId="117" borderId="9" xfId="0" applyFont="1" applyFill="1" applyBorder="1"/>
    <xf numFmtId="0" fontId="1" fillId="119" borderId="9" xfId="0" applyFont="1" applyFill="1" applyBorder="1"/>
    <xf numFmtId="0" fontId="1" fillId="120" borderId="10" xfId="0" applyFont="1" applyFill="1" applyBorder="1"/>
    <xf numFmtId="0" fontId="1" fillId="121" borderId="9" xfId="0" applyFont="1" applyFill="1" applyBorder="1"/>
    <xf numFmtId="0" fontId="1" fillId="122" borderId="9" xfId="0" applyFont="1" applyFill="1" applyBorder="1"/>
    <xf numFmtId="0" fontId="1" fillId="123" borderId="9" xfId="0" applyFont="1" applyFill="1" applyBorder="1"/>
    <xf numFmtId="0" fontId="1" fillId="124" borderId="9" xfId="0" applyFont="1" applyFill="1" applyBorder="1"/>
    <xf numFmtId="0" fontId="1" fillId="125" borderId="9" xfId="0" applyFont="1" applyFill="1" applyBorder="1"/>
    <xf numFmtId="0" fontId="10" fillId="0" borderId="0" xfId="0" applyFont="1" applyAlignment="1">
      <alignment wrapText="1"/>
    </xf>
    <xf numFmtId="0" fontId="10" fillId="0" borderId="0" xfId="0" applyFont="1"/>
    <xf numFmtId="0" fontId="1" fillId="118" borderId="24" xfId="0" applyFont="1" applyFill="1" applyBorder="1"/>
    <xf numFmtId="0" fontId="1" fillId="118" borderId="23" xfId="0" applyFont="1" applyFill="1" applyBorder="1"/>
    <xf numFmtId="0" fontId="1" fillId="0" borderId="25" xfId="0" applyFont="1" applyBorder="1" applyAlignment="1">
      <alignment horizontal="right" vertical="center"/>
    </xf>
    <xf numFmtId="0" fontId="2" fillId="0" borderId="7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8E7339"/>
      <color rgb="FF6A6B31"/>
      <color rgb="FF664733"/>
      <color rgb="FF6D7340"/>
      <color rgb="FF5FFE3D"/>
      <color rgb="FF39C635"/>
      <color rgb="FF3FC63D"/>
      <color rgb="FF48FE47"/>
      <color rgb="FF32A333"/>
      <color rgb="FF69FD4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7D448-149F-D441-AD2D-8D40747FBAF9}">
  <sheetPr codeName="Sheet1">
    <pageSetUpPr fitToPage="1"/>
  </sheetPr>
  <dimension ref="A1:L155"/>
  <sheetViews>
    <sheetView tabSelected="1" topLeftCell="A9" zoomScale="89" zoomScaleNormal="89" workbookViewId="0">
      <selection activeCell="B60" sqref="B60"/>
    </sheetView>
  </sheetViews>
  <sheetFormatPr baseColWidth="10" defaultRowHeight="16" x14ac:dyDescent="0.2"/>
  <cols>
    <col min="1" max="1" width="12.83203125" style="3" customWidth="1"/>
    <col min="2" max="2" width="11.6640625" style="2" bestFit="1" customWidth="1"/>
    <col min="3" max="3" width="0.5" style="1" customWidth="1"/>
    <col min="4" max="4" width="2.83203125" style="1" customWidth="1"/>
    <col min="7" max="7" width="12.1640625" customWidth="1"/>
  </cols>
  <sheetData>
    <row r="1" spans="1:12" ht="17" thickBot="1" x14ac:dyDescent="0.25"/>
    <row r="2" spans="1:12" ht="68" thickTop="1" thickBot="1" x14ac:dyDescent="0.25">
      <c r="A2" s="105" t="s">
        <v>0</v>
      </c>
      <c r="B2" s="134" t="s">
        <v>1</v>
      </c>
      <c r="C2" s="100"/>
      <c r="D2" s="101" t="s">
        <v>60</v>
      </c>
      <c r="F2" s="144" t="s">
        <v>153</v>
      </c>
      <c r="G2" s="144" t="s">
        <v>154</v>
      </c>
      <c r="H2" s="144" t="s">
        <v>155</v>
      </c>
      <c r="J2" s="145" t="s">
        <v>150</v>
      </c>
      <c r="K2" s="145" t="s">
        <v>151</v>
      </c>
      <c r="L2" s="145" t="s">
        <v>152</v>
      </c>
    </row>
    <row r="3" spans="1:12" ht="16" customHeight="1" thickTop="1" x14ac:dyDescent="0.2">
      <c r="A3" s="149" t="s">
        <v>139</v>
      </c>
      <c r="B3" s="127" t="s">
        <v>2</v>
      </c>
      <c r="C3" s="102"/>
      <c r="D3" s="103"/>
      <c r="F3">
        <f xml:space="preserve"> getRGB_R(D3)</f>
        <v>156</v>
      </c>
      <c r="G3">
        <f xml:space="preserve"> getRGB_G(D3)</f>
        <v>83</v>
      </c>
      <c r="H3">
        <f xml:space="preserve"> getRGB_B(D3)</f>
        <v>93</v>
      </c>
      <c r="J3">
        <v>156</v>
      </c>
      <c r="K3">
        <v>83</v>
      </c>
      <c r="L3">
        <v>93</v>
      </c>
    </row>
    <row r="4" spans="1:12" ht="16" customHeight="1" x14ac:dyDescent="0.2">
      <c r="A4" s="150"/>
      <c r="B4" s="129" t="s">
        <v>3</v>
      </c>
      <c r="C4" s="5"/>
      <c r="D4" s="6"/>
      <c r="F4">
        <f t="shared" ref="F4:F74" si="0" xml:space="preserve"> getRGB_R(D4)</f>
        <v>225</v>
      </c>
      <c r="G4">
        <f t="shared" ref="G4:G74" si="1" xml:space="preserve"> getRGB_G(D4)</f>
        <v>150</v>
      </c>
      <c r="H4">
        <f t="shared" ref="H4:H74" si="2" xml:space="preserve"> getRGB_B(D4)</f>
        <v>225</v>
      </c>
      <c r="J4">
        <v>225</v>
      </c>
      <c r="K4">
        <v>150</v>
      </c>
      <c r="L4">
        <v>225</v>
      </c>
    </row>
    <row r="5" spans="1:12" ht="16" customHeight="1" x14ac:dyDescent="0.2">
      <c r="A5" s="150"/>
      <c r="B5" s="129" t="s">
        <v>4</v>
      </c>
      <c r="C5" s="5"/>
      <c r="D5" s="136"/>
      <c r="F5">
        <f t="shared" ref="F5:F6" si="3" xml:space="preserve"> getRGB_R(D5)</f>
        <v>248</v>
      </c>
      <c r="G5">
        <f t="shared" ref="G5:G6" si="4" xml:space="preserve"> getRGB_G(D5)</f>
        <v>90</v>
      </c>
      <c r="H5">
        <f t="shared" ref="H5:H6" si="5" xml:space="preserve"> getRGB_B(D5)</f>
        <v>63</v>
      </c>
      <c r="J5">
        <v>248</v>
      </c>
      <c r="K5">
        <v>90</v>
      </c>
      <c r="L5">
        <v>63</v>
      </c>
    </row>
    <row r="6" spans="1:12" ht="16" customHeight="1" x14ac:dyDescent="0.2">
      <c r="A6" s="150"/>
      <c r="B6" s="129" t="s">
        <v>163</v>
      </c>
      <c r="C6" s="5"/>
      <c r="D6" s="136"/>
      <c r="F6">
        <f t="shared" si="3"/>
        <v>248</v>
      </c>
      <c r="G6">
        <f t="shared" si="4"/>
        <v>90</v>
      </c>
      <c r="H6">
        <f t="shared" si="5"/>
        <v>63</v>
      </c>
      <c r="J6">
        <v>248</v>
      </c>
      <c r="K6">
        <v>90</v>
      </c>
      <c r="L6">
        <v>63</v>
      </c>
    </row>
    <row r="7" spans="1:12" ht="16" customHeight="1" x14ac:dyDescent="0.2">
      <c r="A7" s="150"/>
      <c r="B7" s="129" t="s">
        <v>164</v>
      </c>
      <c r="C7" s="5"/>
      <c r="D7" s="136"/>
      <c r="F7">
        <f t="shared" si="0"/>
        <v>248</v>
      </c>
      <c r="G7">
        <f t="shared" si="1"/>
        <v>90</v>
      </c>
      <c r="H7">
        <f t="shared" si="2"/>
        <v>63</v>
      </c>
      <c r="J7">
        <v>248</v>
      </c>
      <c r="K7">
        <v>90</v>
      </c>
      <c r="L7">
        <v>63</v>
      </c>
    </row>
    <row r="8" spans="1:12" ht="16" customHeight="1" x14ac:dyDescent="0.2">
      <c r="A8" s="150"/>
      <c r="B8" s="129" t="s">
        <v>5</v>
      </c>
      <c r="C8" s="5"/>
      <c r="D8" s="7"/>
      <c r="F8">
        <f t="shared" si="0"/>
        <v>187</v>
      </c>
      <c r="G8">
        <f t="shared" si="1"/>
        <v>197</v>
      </c>
      <c r="H8">
        <f t="shared" si="2"/>
        <v>63</v>
      </c>
      <c r="J8">
        <v>187</v>
      </c>
      <c r="K8">
        <v>197</v>
      </c>
      <c r="L8">
        <v>63</v>
      </c>
    </row>
    <row r="9" spans="1:12" ht="16" customHeight="1" x14ac:dyDescent="0.2">
      <c r="A9" s="150"/>
      <c r="B9" s="129" t="s">
        <v>165</v>
      </c>
      <c r="C9" s="5"/>
      <c r="D9" s="7"/>
      <c r="F9">
        <f t="shared" ref="F9" si="6" xml:space="preserve"> getRGB_R(D9)</f>
        <v>187</v>
      </c>
      <c r="G9">
        <f t="shared" ref="G9" si="7" xml:space="preserve"> getRGB_G(D9)</f>
        <v>197</v>
      </c>
      <c r="H9">
        <f t="shared" ref="H9" si="8" xml:space="preserve"> getRGB_B(D9)</f>
        <v>63</v>
      </c>
      <c r="J9">
        <v>187</v>
      </c>
      <c r="K9">
        <v>197</v>
      </c>
      <c r="L9">
        <v>63</v>
      </c>
    </row>
    <row r="10" spans="1:12" ht="16" customHeight="1" x14ac:dyDescent="0.2">
      <c r="A10" s="150"/>
      <c r="B10" s="129" t="s">
        <v>166</v>
      </c>
      <c r="C10" s="5"/>
      <c r="D10" s="7"/>
      <c r="F10">
        <f t="shared" si="0"/>
        <v>187</v>
      </c>
      <c r="G10">
        <f t="shared" si="1"/>
        <v>197</v>
      </c>
      <c r="H10">
        <f t="shared" si="2"/>
        <v>63</v>
      </c>
      <c r="J10">
        <v>187</v>
      </c>
      <c r="K10">
        <v>197</v>
      </c>
      <c r="L10">
        <v>63</v>
      </c>
    </row>
    <row r="11" spans="1:12" ht="16" customHeight="1" x14ac:dyDescent="0.2">
      <c r="A11" s="150"/>
      <c r="B11" s="129" t="s">
        <v>6</v>
      </c>
      <c r="C11" s="5"/>
      <c r="D11" s="8"/>
      <c r="F11">
        <f t="shared" si="0"/>
        <v>104</v>
      </c>
      <c r="G11">
        <f t="shared" si="1"/>
        <v>230</v>
      </c>
      <c r="H11">
        <f t="shared" si="2"/>
        <v>252</v>
      </c>
      <c r="J11">
        <v>104</v>
      </c>
      <c r="K11">
        <v>230</v>
      </c>
      <c r="L11">
        <v>252</v>
      </c>
    </row>
    <row r="12" spans="1:12" ht="16" customHeight="1" x14ac:dyDescent="0.2">
      <c r="A12" s="150"/>
      <c r="B12" s="129" t="s">
        <v>157</v>
      </c>
      <c r="C12" s="5"/>
      <c r="D12" s="9"/>
      <c r="F12">
        <f t="shared" ref="F12" si="9" xml:space="preserve"> getRGB_R(D12)</f>
        <v>117</v>
      </c>
      <c r="G12">
        <f t="shared" ref="G12" si="10" xml:space="preserve"> getRGB_G(D12)</f>
        <v>249</v>
      </c>
      <c r="H12">
        <f t="shared" ref="H12" si="11" xml:space="preserve"> getRGB_B(D12)</f>
        <v>76</v>
      </c>
      <c r="J12">
        <v>117</v>
      </c>
      <c r="K12">
        <v>249</v>
      </c>
      <c r="L12">
        <v>76</v>
      </c>
    </row>
    <row r="13" spans="1:12" ht="16" customHeight="1" x14ac:dyDescent="0.2">
      <c r="A13" s="150"/>
      <c r="B13" s="129" t="s">
        <v>158</v>
      </c>
      <c r="C13" s="5"/>
      <c r="D13" s="9"/>
      <c r="F13">
        <f t="shared" si="0"/>
        <v>117</v>
      </c>
      <c r="G13">
        <f t="shared" si="1"/>
        <v>249</v>
      </c>
      <c r="H13">
        <f t="shared" si="2"/>
        <v>76</v>
      </c>
      <c r="J13">
        <v>117</v>
      </c>
      <c r="K13">
        <v>249</v>
      </c>
      <c r="L13">
        <v>76</v>
      </c>
    </row>
    <row r="14" spans="1:12" ht="16" customHeight="1" x14ac:dyDescent="0.2">
      <c r="A14" s="150"/>
      <c r="B14" s="129" t="s">
        <v>7</v>
      </c>
      <c r="C14" s="5"/>
      <c r="D14" s="10"/>
      <c r="F14">
        <f t="shared" si="0"/>
        <v>255</v>
      </c>
      <c r="G14">
        <f t="shared" si="1"/>
        <v>255</v>
      </c>
      <c r="H14">
        <f t="shared" si="2"/>
        <v>255</v>
      </c>
      <c r="J14">
        <v>0</v>
      </c>
      <c r="K14">
        <v>0</v>
      </c>
      <c r="L14">
        <v>0</v>
      </c>
    </row>
    <row r="15" spans="1:12" ht="16" customHeight="1" x14ac:dyDescent="0.2">
      <c r="A15" s="150"/>
      <c r="B15" s="129" t="s">
        <v>9</v>
      </c>
      <c r="C15" s="5"/>
      <c r="D15" s="11"/>
      <c r="F15">
        <f t="shared" si="0"/>
        <v>148</v>
      </c>
      <c r="G15">
        <f t="shared" si="1"/>
        <v>113</v>
      </c>
      <c r="H15">
        <f t="shared" si="2"/>
        <v>247</v>
      </c>
      <c r="J15">
        <v>148</v>
      </c>
      <c r="K15">
        <v>113</v>
      </c>
      <c r="L15">
        <v>247</v>
      </c>
    </row>
    <row r="16" spans="1:12" ht="16" customHeight="1" x14ac:dyDescent="0.2">
      <c r="A16" s="150"/>
      <c r="B16" s="129" t="s">
        <v>67</v>
      </c>
      <c r="C16" s="5"/>
      <c r="D16" s="12"/>
      <c r="F16">
        <f t="shared" si="0"/>
        <v>59</v>
      </c>
      <c r="G16">
        <f t="shared" si="1"/>
        <v>68</v>
      </c>
      <c r="H16">
        <f t="shared" si="2"/>
        <v>215</v>
      </c>
      <c r="J16">
        <v>59</v>
      </c>
      <c r="K16">
        <v>68</v>
      </c>
      <c r="L16">
        <v>215</v>
      </c>
    </row>
    <row r="17" spans="1:12" ht="16" customHeight="1" x14ac:dyDescent="0.2">
      <c r="A17" s="150"/>
      <c r="B17" s="129" t="s">
        <v>159</v>
      </c>
      <c r="C17" s="5"/>
      <c r="D17" s="137"/>
      <c r="F17">
        <f t="shared" ref="F17" si="12" xml:space="preserve"> getRGB_R(D17)</f>
        <v>65</v>
      </c>
      <c r="G17">
        <f t="shared" ref="G17" si="13" xml:space="preserve"> getRGB_G(D17)</f>
        <v>42</v>
      </c>
      <c r="H17">
        <f t="shared" ref="H17" si="14" xml:space="preserve"> getRGB_B(D17)</f>
        <v>242</v>
      </c>
      <c r="J17">
        <v>65</v>
      </c>
      <c r="K17">
        <v>42</v>
      </c>
      <c r="L17">
        <v>242</v>
      </c>
    </row>
    <row r="18" spans="1:12" ht="16" customHeight="1" x14ac:dyDescent="0.2">
      <c r="A18" s="150"/>
      <c r="B18" s="129" t="s">
        <v>160</v>
      </c>
      <c r="C18" s="5"/>
      <c r="D18" s="137"/>
      <c r="F18">
        <f t="shared" si="0"/>
        <v>65</v>
      </c>
      <c r="G18">
        <f t="shared" si="1"/>
        <v>42</v>
      </c>
      <c r="H18">
        <f t="shared" si="2"/>
        <v>242</v>
      </c>
      <c r="J18">
        <v>65</v>
      </c>
      <c r="K18">
        <v>42</v>
      </c>
      <c r="L18">
        <v>242</v>
      </c>
    </row>
    <row r="19" spans="1:12" ht="16" customHeight="1" x14ac:dyDescent="0.2">
      <c r="A19" s="150"/>
      <c r="B19" s="129" t="s">
        <v>8</v>
      </c>
      <c r="C19" s="5"/>
      <c r="D19" s="13"/>
      <c r="F19">
        <f t="shared" si="0"/>
        <v>62</v>
      </c>
      <c r="G19">
        <f t="shared" si="1"/>
        <v>129</v>
      </c>
      <c r="H19">
        <f t="shared" si="2"/>
        <v>79</v>
      </c>
      <c r="J19">
        <v>62</v>
      </c>
      <c r="K19">
        <v>129</v>
      </c>
      <c r="L19">
        <v>79</v>
      </c>
    </row>
    <row r="20" spans="1:12" ht="16" customHeight="1" thickBot="1" x14ac:dyDescent="0.25">
      <c r="A20" s="152"/>
      <c r="B20" s="148" t="s">
        <v>161</v>
      </c>
      <c r="C20" s="104"/>
      <c r="D20" s="147"/>
      <c r="F20">
        <f t="shared" ref="F20" si="15" xml:space="preserve"> getRGB_R(D20)</f>
        <v>120</v>
      </c>
      <c r="G20">
        <f t="shared" ref="G20" si="16" xml:space="preserve"> getRGB_G(D20)</f>
        <v>150</v>
      </c>
      <c r="H20">
        <f t="shared" ref="H20" si="17" xml:space="preserve"> getRGB_B(D20)</f>
        <v>241</v>
      </c>
      <c r="J20">
        <v>120</v>
      </c>
      <c r="K20">
        <v>150</v>
      </c>
      <c r="L20">
        <v>241</v>
      </c>
    </row>
    <row r="21" spans="1:12" ht="16" customHeight="1" thickTop="1" thickBot="1" x14ac:dyDescent="0.25">
      <c r="A21" s="151"/>
      <c r="B21" s="131" t="s">
        <v>162</v>
      </c>
      <c r="C21" s="104"/>
      <c r="D21" s="146"/>
      <c r="F21">
        <f t="shared" si="0"/>
        <v>120</v>
      </c>
      <c r="G21">
        <f t="shared" si="1"/>
        <v>150</v>
      </c>
      <c r="H21">
        <f t="shared" si="2"/>
        <v>241</v>
      </c>
      <c r="J21">
        <v>120</v>
      </c>
      <c r="K21">
        <v>150</v>
      </c>
      <c r="L21">
        <v>241</v>
      </c>
    </row>
    <row r="22" spans="1:12" ht="16" customHeight="1" thickTop="1" x14ac:dyDescent="0.2">
      <c r="A22" s="149" t="s">
        <v>140</v>
      </c>
      <c r="B22" s="128" t="s">
        <v>10</v>
      </c>
      <c r="C22" s="102"/>
      <c r="D22" s="106"/>
      <c r="F22">
        <f t="shared" si="0"/>
        <v>87</v>
      </c>
      <c r="G22">
        <f t="shared" si="1"/>
        <v>196</v>
      </c>
      <c r="H22">
        <f t="shared" si="2"/>
        <v>247</v>
      </c>
      <c r="J22">
        <v>87</v>
      </c>
      <c r="K22">
        <v>196</v>
      </c>
      <c r="L22">
        <v>247</v>
      </c>
    </row>
    <row r="23" spans="1:12" ht="16" customHeight="1" x14ac:dyDescent="0.2">
      <c r="A23" s="150"/>
      <c r="B23" s="129" t="s">
        <v>11</v>
      </c>
      <c r="C23" s="5"/>
      <c r="D23" s="14"/>
      <c r="F23">
        <f t="shared" si="0"/>
        <v>193</v>
      </c>
      <c r="G23">
        <f t="shared" si="1"/>
        <v>111</v>
      </c>
      <c r="H23">
        <f t="shared" si="2"/>
        <v>116</v>
      </c>
      <c r="J23">
        <v>193</v>
      </c>
      <c r="K23">
        <v>111</v>
      </c>
      <c r="L23">
        <v>116</v>
      </c>
    </row>
    <row r="24" spans="1:12" ht="16" customHeight="1" x14ac:dyDescent="0.2">
      <c r="A24" s="150"/>
      <c r="B24" s="129" t="s">
        <v>12</v>
      </c>
      <c r="C24" s="5"/>
      <c r="D24" s="15"/>
      <c r="F24">
        <f t="shared" si="0"/>
        <v>242</v>
      </c>
      <c r="G24">
        <f t="shared" si="1"/>
        <v>208</v>
      </c>
      <c r="H24">
        <f t="shared" si="2"/>
        <v>70</v>
      </c>
      <c r="J24">
        <v>242</v>
      </c>
      <c r="K24">
        <v>208</v>
      </c>
      <c r="L24">
        <v>70</v>
      </c>
    </row>
    <row r="25" spans="1:12" ht="16" customHeight="1" x14ac:dyDescent="0.2">
      <c r="A25" s="150"/>
      <c r="B25" s="129" t="s">
        <v>13</v>
      </c>
      <c r="C25" s="5"/>
      <c r="D25" s="9"/>
      <c r="F25">
        <f t="shared" si="0"/>
        <v>117</v>
      </c>
      <c r="G25">
        <f t="shared" si="1"/>
        <v>249</v>
      </c>
      <c r="H25">
        <f t="shared" si="2"/>
        <v>76</v>
      </c>
      <c r="J25">
        <v>117</v>
      </c>
      <c r="K25">
        <v>249</v>
      </c>
      <c r="L25">
        <v>76</v>
      </c>
    </row>
    <row r="26" spans="1:12" ht="16" customHeight="1" x14ac:dyDescent="0.2">
      <c r="A26" s="150"/>
      <c r="B26" s="129" t="s">
        <v>14</v>
      </c>
      <c r="C26" s="5"/>
      <c r="D26" s="10"/>
      <c r="F26">
        <f t="shared" si="0"/>
        <v>255</v>
      </c>
      <c r="G26">
        <f t="shared" si="1"/>
        <v>255</v>
      </c>
      <c r="H26">
        <f t="shared" si="2"/>
        <v>255</v>
      </c>
      <c r="J26">
        <v>0</v>
      </c>
      <c r="K26">
        <v>0</v>
      </c>
      <c r="L26">
        <v>0</v>
      </c>
    </row>
    <row r="27" spans="1:12" ht="16" customHeight="1" x14ac:dyDescent="0.2">
      <c r="A27" s="150"/>
      <c r="B27" s="129" t="s">
        <v>15</v>
      </c>
      <c r="C27" s="5"/>
      <c r="D27" s="10"/>
      <c r="F27">
        <f t="shared" si="0"/>
        <v>255</v>
      </c>
      <c r="G27">
        <f t="shared" si="1"/>
        <v>255</v>
      </c>
      <c r="H27">
        <f t="shared" si="2"/>
        <v>255</v>
      </c>
      <c r="J27">
        <v>0</v>
      </c>
      <c r="K27">
        <v>0</v>
      </c>
      <c r="L27">
        <v>0</v>
      </c>
    </row>
    <row r="28" spans="1:12" ht="16" customHeight="1" x14ac:dyDescent="0.2">
      <c r="A28" s="150"/>
      <c r="B28" s="129" t="s">
        <v>17</v>
      </c>
      <c r="C28" s="5"/>
      <c r="D28" s="16"/>
      <c r="F28">
        <f t="shared" si="0"/>
        <v>71</v>
      </c>
      <c r="G28">
        <f t="shared" si="1"/>
        <v>95</v>
      </c>
      <c r="H28">
        <f t="shared" si="2"/>
        <v>70</v>
      </c>
      <c r="J28">
        <v>71</v>
      </c>
      <c r="K28">
        <v>95</v>
      </c>
      <c r="L28">
        <v>70</v>
      </c>
    </row>
    <row r="29" spans="1:12" ht="16" customHeight="1" thickBot="1" x14ac:dyDescent="0.25">
      <c r="A29" s="151"/>
      <c r="B29" s="132" t="s">
        <v>16</v>
      </c>
      <c r="C29" s="104"/>
      <c r="D29" s="107"/>
      <c r="F29">
        <f t="shared" si="0"/>
        <v>68</v>
      </c>
      <c r="G29">
        <f t="shared" si="1"/>
        <v>62</v>
      </c>
      <c r="H29">
        <f t="shared" si="2"/>
        <v>50</v>
      </c>
      <c r="J29">
        <v>68</v>
      </c>
      <c r="K29">
        <v>62</v>
      </c>
      <c r="L29">
        <v>50</v>
      </c>
    </row>
    <row r="30" spans="1:12" ht="16" customHeight="1" thickTop="1" x14ac:dyDescent="0.2">
      <c r="A30" s="149" t="s">
        <v>141</v>
      </c>
      <c r="B30" s="128" t="s">
        <v>28</v>
      </c>
      <c r="C30" s="102"/>
      <c r="D30" s="108"/>
      <c r="F30">
        <f t="shared" si="0"/>
        <v>52</v>
      </c>
      <c r="G30">
        <f t="shared" si="1"/>
        <v>63</v>
      </c>
      <c r="H30">
        <f t="shared" si="2"/>
        <v>203</v>
      </c>
      <c r="J30">
        <v>52</v>
      </c>
      <c r="K30">
        <v>63</v>
      </c>
      <c r="L30">
        <v>203</v>
      </c>
    </row>
    <row r="31" spans="1:12" ht="16" customHeight="1" x14ac:dyDescent="0.2">
      <c r="A31" s="150"/>
      <c r="B31" s="129" t="s">
        <v>46</v>
      </c>
      <c r="C31" s="5"/>
      <c r="D31" s="6"/>
      <c r="F31">
        <f t="shared" si="0"/>
        <v>225</v>
      </c>
      <c r="G31">
        <f t="shared" si="1"/>
        <v>150</v>
      </c>
      <c r="H31">
        <f t="shared" si="2"/>
        <v>225</v>
      </c>
      <c r="J31">
        <v>225</v>
      </c>
      <c r="K31">
        <v>150</v>
      </c>
      <c r="L31">
        <v>225</v>
      </c>
    </row>
    <row r="32" spans="1:12" ht="16" customHeight="1" x14ac:dyDescent="0.2">
      <c r="A32" s="150"/>
      <c r="B32" s="129" t="s">
        <v>50</v>
      </c>
      <c r="C32" s="5"/>
      <c r="D32" s="10"/>
      <c r="F32">
        <f t="shared" si="0"/>
        <v>255</v>
      </c>
      <c r="G32">
        <f t="shared" si="1"/>
        <v>255</v>
      </c>
      <c r="H32">
        <f t="shared" si="2"/>
        <v>255</v>
      </c>
      <c r="J32">
        <v>0</v>
      </c>
      <c r="K32">
        <v>0</v>
      </c>
      <c r="L32">
        <v>0</v>
      </c>
    </row>
    <row r="33" spans="1:12" ht="16" customHeight="1" thickBot="1" x14ac:dyDescent="0.25">
      <c r="A33" s="151"/>
      <c r="B33" s="130" t="s">
        <v>59</v>
      </c>
      <c r="C33" s="104"/>
      <c r="D33" s="109"/>
      <c r="F33">
        <f t="shared" si="0"/>
        <v>85</v>
      </c>
      <c r="G33">
        <f t="shared" si="1"/>
        <v>196</v>
      </c>
      <c r="H33">
        <f t="shared" si="2"/>
        <v>53</v>
      </c>
      <c r="J33">
        <v>85</v>
      </c>
      <c r="K33">
        <v>196</v>
      </c>
      <c r="L33">
        <v>53</v>
      </c>
    </row>
    <row r="34" spans="1:12" ht="16" customHeight="1" thickTop="1" x14ac:dyDescent="0.2">
      <c r="A34" s="149" t="s">
        <v>142</v>
      </c>
      <c r="B34" s="133" t="s">
        <v>18</v>
      </c>
      <c r="C34" s="102"/>
      <c r="D34" s="110"/>
      <c r="F34">
        <f t="shared" si="0"/>
        <v>166</v>
      </c>
      <c r="G34">
        <f t="shared" si="1"/>
        <v>105</v>
      </c>
      <c r="H34">
        <f t="shared" si="2"/>
        <v>158</v>
      </c>
      <c r="J34">
        <v>166</v>
      </c>
      <c r="K34">
        <v>105</v>
      </c>
      <c r="L34">
        <v>158</v>
      </c>
    </row>
    <row r="35" spans="1:12" ht="16" customHeight="1" x14ac:dyDescent="0.2">
      <c r="A35" s="150"/>
      <c r="B35" s="129" t="s">
        <v>19</v>
      </c>
      <c r="C35" s="5"/>
      <c r="D35" s="135"/>
      <c r="F35">
        <f t="shared" si="0"/>
        <v>252</v>
      </c>
      <c r="G35">
        <f t="shared" si="1"/>
        <v>84</v>
      </c>
      <c r="H35">
        <f t="shared" si="2"/>
        <v>65</v>
      </c>
      <c r="J35">
        <v>252</v>
      </c>
      <c r="K35">
        <v>84</v>
      </c>
      <c r="L35">
        <v>65</v>
      </c>
    </row>
    <row r="36" spans="1:12" ht="16" customHeight="1" x14ac:dyDescent="0.2">
      <c r="A36" s="150"/>
      <c r="B36" s="129" t="s">
        <v>21</v>
      </c>
      <c r="C36" s="5"/>
      <c r="D36" s="10"/>
      <c r="F36">
        <f t="shared" si="0"/>
        <v>255</v>
      </c>
      <c r="G36">
        <f t="shared" si="1"/>
        <v>255</v>
      </c>
      <c r="H36">
        <f t="shared" si="2"/>
        <v>255</v>
      </c>
      <c r="J36">
        <v>0</v>
      </c>
      <c r="K36">
        <v>0</v>
      </c>
      <c r="L36">
        <v>0</v>
      </c>
    </row>
    <row r="37" spans="1:12" ht="16" customHeight="1" x14ac:dyDescent="0.2">
      <c r="A37" s="150"/>
      <c r="B37" s="129" t="s">
        <v>20</v>
      </c>
      <c r="C37" s="5"/>
      <c r="D37" s="17"/>
      <c r="F37">
        <f t="shared" si="0"/>
        <v>61</v>
      </c>
      <c r="G37">
        <f t="shared" si="1"/>
        <v>85</v>
      </c>
      <c r="H37">
        <f t="shared" si="2"/>
        <v>53</v>
      </c>
      <c r="J37">
        <v>61</v>
      </c>
      <c r="K37">
        <v>85</v>
      </c>
      <c r="L37">
        <v>53</v>
      </c>
    </row>
    <row r="38" spans="1:12" ht="16" customHeight="1" x14ac:dyDescent="0.2">
      <c r="A38" s="150"/>
      <c r="B38" s="129" t="s">
        <v>22</v>
      </c>
      <c r="C38" s="5"/>
      <c r="D38" s="18"/>
      <c r="F38">
        <f t="shared" si="0"/>
        <v>54</v>
      </c>
      <c r="G38">
        <f t="shared" si="1"/>
        <v>71</v>
      </c>
      <c r="H38">
        <f t="shared" si="2"/>
        <v>211</v>
      </c>
      <c r="J38">
        <v>54</v>
      </c>
      <c r="K38">
        <v>71</v>
      </c>
      <c r="L38">
        <v>211</v>
      </c>
    </row>
    <row r="39" spans="1:12" ht="16" customHeight="1" x14ac:dyDescent="0.2">
      <c r="A39" s="150"/>
      <c r="B39" s="129" t="s">
        <v>24</v>
      </c>
      <c r="C39" s="5"/>
      <c r="D39" s="19"/>
      <c r="F39">
        <f t="shared" si="0"/>
        <v>207</v>
      </c>
      <c r="G39">
        <f t="shared" si="1"/>
        <v>81</v>
      </c>
      <c r="H39">
        <f t="shared" si="2"/>
        <v>71</v>
      </c>
      <c r="J39">
        <v>207</v>
      </c>
      <c r="K39">
        <v>81</v>
      </c>
      <c r="L39">
        <v>71</v>
      </c>
    </row>
    <row r="40" spans="1:12" ht="16" customHeight="1" x14ac:dyDescent="0.2">
      <c r="A40" s="150"/>
      <c r="B40" s="129" t="s">
        <v>25</v>
      </c>
      <c r="C40" s="5"/>
      <c r="D40" s="20"/>
      <c r="F40">
        <f t="shared" si="0"/>
        <v>87</v>
      </c>
      <c r="G40">
        <f t="shared" si="1"/>
        <v>163</v>
      </c>
      <c r="H40">
        <f t="shared" si="2"/>
        <v>76</v>
      </c>
      <c r="J40">
        <v>87</v>
      </c>
      <c r="K40">
        <v>163</v>
      </c>
      <c r="L40">
        <v>76</v>
      </c>
    </row>
    <row r="41" spans="1:12" ht="16" customHeight="1" x14ac:dyDescent="0.2">
      <c r="A41" s="150"/>
      <c r="B41" s="129" t="s">
        <v>27</v>
      </c>
      <c r="C41" s="5"/>
      <c r="D41" s="21"/>
      <c r="F41">
        <f t="shared" si="0"/>
        <v>141</v>
      </c>
      <c r="G41">
        <f t="shared" si="1"/>
        <v>85</v>
      </c>
      <c r="H41">
        <f t="shared" si="2"/>
        <v>123</v>
      </c>
      <c r="J41">
        <v>141</v>
      </c>
      <c r="K41">
        <v>85</v>
      </c>
      <c r="L41">
        <v>123</v>
      </c>
    </row>
    <row r="42" spans="1:12" ht="16" customHeight="1" x14ac:dyDescent="0.2">
      <c r="A42" s="150"/>
      <c r="B42" s="129" t="s">
        <v>29</v>
      </c>
      <c r="C42" s="5"/>
      <c r="D42" s="22"/>
      <c r="F42">
        <f t="shared" si="0"/>
        <v>213</v>
      </c>
      <c r="G42">
        <f t="shared" si="1"/>
        <v>251</v>
      </c>
      <c r="H42">
        <f t="shared" si="2"/>
        <v>82</v>
      </c>
      <c r="J42">
        <v>213</v>
      </c>
      <c r="K42">
        <v>251</v>
      </c>
      <c r="L42">
        <v>82</v>
      </c>
    </row>
    <row r="43" spans="1:12" ht="16" customHeight="1" x14ac:dyDescent="0.2">
      <c r="A43" s="150"/>
      <c r="B43" s="129" t="s">
        <v>30</v>
      </c>
      <c r="C43" s="5"/>
      <c r="D43" s="23"/>
      <c r="F43">
        <f t="shared" si="0"/>
        <v>72</v>
      </c>
      <c r="G43">
        <f t="shared" si="1"/>
        <v>106</v>
      </c>
      <c r="H43">
        <f t="shared" si="2"/>
        <v>135</v>
      </c>
      <c r="J43">
        <v>72</v>
      </c>
      <c r="K43">
        <v>106</v>
      </c>
      <c r="L43">
        <v>135</v>
      </c>
    </row>
    <row r="44" spans="1:12" ht="16" customHeight="1" x14ac:dyDescent="0.2">
      <c r="A44" s="150"/>
      <c r="B44" s="129" t="s">
        <v>31</v>
      </c>
      <c r="C44" s="5"/>
      <c r="D44" s="24"/>
      <c r="F44">
        <f t="shared" si="0"/>
        <v>46</v>
      </c>
      <c r="G44">
        <f t="shared" si="1"/>
        <v>59</v>
      </c>
      <c r="H44">
        <f t="shared" si="2"/>
        <v>162</v>
      </c>
      <c r="J44">
        <v>46</v>
      </c>
      <c r="K44">
        <v>59</v>
      </c>
      <c r="L44">
        <v>162</v>
      </c>
    </row>
    <row r="45" spans="1:12" ht="16" customHeight="1" x14ac:dyDescent="0.2">
      <c r="A45" s="150"/>
      <c r="B45" s="129" t="s">
        <v>32</v>
      </c>
      <c r="C45" s="5"/>
      <c r="D45" s="25"/>
      <c r="F45">
        <f t="shared" si="0"/>
        <v>124</v>
      </c>
      <c r="G45">
        <f t="shared" si="1"/>
        <v>250</v>
      </c>
      <c r="H45">
        <f t="shared" si="2"/>
        <v>126</v>
      </c>
      <c r="J45">
        <v>124</v>
      </c>
      <c r="K45">
        <v>250</v>
      </c>
      <c r="L45">
        <v>126</v>
      </c>
    </row>
    <row r="46" spans="1:12" ht="16" customHeight="1" x14ac:dyDescent="0.2">
      <c r="A46" s="150"/>
      <c r="B46" s="129" t="s">
        <v>33</v>
      </c>
      <c r="C46" s="5"/>
      <c r="D46" s="26"/>
      <c r="F46">
        <f t="shared" si="0"/>
        <v>86</v>
      </c>
      <c r="G46">
        <f t="shared" si="1"/>
        <v>109</v>
      </c>
      <c r="H46">
        <f t="shared" si="2"/>
        <v>59</v>
      </c>
      <c r="J46">
        <v>86</v>
      </c>
      <c r="K46">
        <v>109</v>
      </c>
      <c r="L46">
        <v>59</v>
      </c>
    </row>
    <row r="47" spans="1:12" ht="16" customHeight="1" x14ac:dyDescent="0.2">
      <c r="A47" s="150"/>
      <c r="B47" s="129" t="s">
        <v>34</v>
      </c>
      <c r="C47" s="5"/>
      <c r="D47" s="27"/>
      <c r="F47">
        <f t="shared" si="0"/>
        <v>71</v>
      </c>
      <c r="G47">
        <f t="shared" si="1"/>
        <v>129</v>
      </c>
      <c r="H47">
        <f t="shared" si="2"/>
        <v>55</v>
      </c>
      <c r="J47">
        <v>71</v>
      </c>
      <c r="K47">
        <v>129</v>
      </c>
      <c r="L47">
        <v>55</v>
      </c>
    </row>
    <row r="48" spans="1:12" ht="16" customHeight="1" x14ac:dyDescent="0.2">
      <c r="A48" s="150"/>
      <c r="B48" s="129" t="s">
        <v>35</v>
      </c>
      <c r="C48" s="5"/>
      <c r="D48" s="28"/>
      <c r="F48">
        <f t="shared" si="0"/>
        <v>72</v>
      </c>
      <c r="G48">
        <f t="shared" si="1"/>
        <v>93</v>
      </c>
      <c r="H48">
        <f t="shared" si="2"/>
        <v>75</v>
      </c>
      <c r="J48">
        <v>72</v>
      </c>
      <c r="K48">
        <v>93</v>
      </c>
      <c r="L48">
        <v>75</v>
      </c>
    </row>
    <row r="49" spans="1:12" ht="16" customHeight="1" x14ac:dyDescent="0.2">
      <c r="A49" s="150"/>
      <c r="B49" s="129" t="s">
        <v>36</v>
      </c>
      <c r="C49" s="5"/>
      <c r="D49" s="29"/>
      <c r="F49">
        <f t="shared" si="0"/>
        <v>67</v>
      </c>
      <c r="G49">
        <f t="shared" si="1"/>
        <v>97</v>
      </c>
      <c r="H49">
        <f t="shared" si="2"/>
        <v>61</v>
      </c>
      <c r="J49">
        <v>67</v>
      </c>
      <c r="K49">
        <v>97</v>
      </c>
      <c r="L49">
        <v>61</v>
      </c>
    </row>
    <row r="50" spans="1:12" ht="16" customHeight="1" x14ac:dyDescent="0.2">
      <c r="A50" s="150"/>
      <c r="B50" s="129" t="s">
        <v>37</v>
      </c>
      <c r="C50" s="5"/>
      <c r="D50" s="30"/>
      <c r="F50">
        <f t="shared" si="0"/>
        <v>210</v>
      </c>
      <c r="G50">
        <f t="shared" si="1"/>
        <v>85</v>
      </c>
      <c r="H50">
        <f t="shared" si="2"/>
        <v>99</v>
      </c>
      <c r="J50">
        <v>210</v>
      </c>
      <c r="K50">
        <v>85</v>
      </c>
      <c r="L50">
        <v>99</v>
      </c>
    </row>
    <row r="51" spans="1:12" ht="16" customHeight="1" x14ac:dyDescent="0.2">
      <c r="A51" s="150"/>
      <c r="B51" s="129" t="s">
        <v>38</v>
      </c>
      <c r="C51" s="5"/>
      <c r="D51" s="31"/>
      <c r="F51">
        <f t="shared" si="0"/>
        <v>145</v>
      </c>
      <c r="G51">
        <f t="shared" si="1"/>
        <v>148</v>
      </c>
      <c r="H51">
        <f t="shared" si="2"/>
        <v>248</v>
      </c>
      <c r="J51">
        <v>145</v>
      </c>
      <c r="K51">
        <v>148</v>
      </c>
      <c r="L51">
        <v>248</v>
      </c>
    </row>
    <row r="52" spans="1:12" ht="16" customHeight="1" x14ac:dyDescent="0.2">
      <c r="A52" s="150"/>
      <c r="B52" s="129" t="s">
        <v>39</v>
      </c>
      <c r="C52" s="5"/>
      <c r="D52" s="10"/>
      <c r="F52">
        <f t="shared" si="0"/>
        <v>255</v>
      </c>
      <c r="G52">
        <f t="shared" si="1"/>
        <v>255</v>
      </c>
      <c r="H52">
        <f t="shared" si="2"/>
        <v>255</v>
      </c>
      <c r="J52">
        <v>0</v>
      </c>
      <c r="K52">
        <v>0</v>
      </c>
      <c r="L52">
        <v>0</v>
      </c>
    </row>
    <row r="53" spans="1:12" ht="16" customHeight="1" x14ac:dyDescent="0.2">
      <c r="A53" s="150"/>
      <c r="B53" s="129" t="s">
        <v>40</v>
      </c>
      <c r="C53" s="5"/>
      <c r="D53" s="32"/>
      <c r="F53">
        <f t="shared" si="0"/>
        <v>246</v>
      </c>
      <c r="G53">
        <f t="shared" si="1"/>
        <v>252</v>
      </c>
      <c r="H53">
        <f t="shared" si="2"/>
        <v>100</v>
      </c>
      <c r="J53">
        <v>246</v>
      </c>
      <c r="K53">
        <v>252</v>
      </c>
      <c r="L53">
        <v>100</v>
      </c>
    </row>
    <row r="54" spans="1:12" ht="16" customHeight="1" x14ac:dyDescent="0.2">
      <c r="A54" s="150"/>
      <c r="B54" s="129" t="s">
        <v>41</v>
      </c>
      <c r="C54" s="5"/>
      <c r="D54" s="33"/>
      <c r="F54">
        <f t="shared" si="0"/>
        <v>252</v>
      </c>
      <c r="G54">
        <f t="shared" si="1"/>
        <v>235</v>
      </c>
      <c r="H54">
        <f t="shared" si="2"/>
        <v>187</v>
      </c>
      <c r="J54">
        <v>252</v>
      </c>
      <c r="K54">
        <v>235</v>
      </c>
      <c r="L54">
        <v>187</v>
      </c>
    </row>
    <row r="55" spans="1:12" ht="16" customHeight="1" x14ac:dyDescent="0.2">
      <c r="A55" s="150"/>
      <c r="B55" s="129" t="s">
        <v>42</v>
      </c>
      <c r="C55" s="5"/>
      <c r="D55" s="34"/>
      <c r="F55">
        <f t="shared" si="0"/>
        <v>50</v>
      </c>
      <c r="G55">
        <f t="shared" si="1"/>
        <v>77</v>
      </c>
      <c r="H55">
        <f t="shared" si="2"/>
        <v>245</v>
      </c>
      <c r="J55">
        <v>50</v>
      </c>
      <c r="K55">
        <v>77</v>
      </c>
      <c r="L55">
        <v>245</v>
      </c>
    </row>
    <row r="56" spans="1:12" ht="16" customHeight="1" x14ac:dyDescent="0.2">
      <c r="A56" s="150"/>
      <c r="B56" s="129" t="s">
        <v>43</v>
      </c>
      <c r="C56" s="5"/>
      <c r="D56" s="35"/>
      <c r="F56">
        <f t="shared" si="0"/>
        <v>180</v>
      </c>
      <c r="G56">
        <f t="shared" si="1"/>
        <v>96</v>
      </c>
      <c r="H56">
        <f t="shared" si="2"/>
        <v>186</v>
      </c>
      <c r="J56">
        <v>180</v>
      </c>
      <c r="K56">
        <v>96</v>
      </c>
      <c r="L56">
        <v>186</v>
      </c>
    </row>
    <row r="57" spans="1:12" ht="16" customHeight="1" x14ac:dyDescent="0.2">
      <c r="A57" s="150"/>
      <c r="B57" s="129" t="s">
        <v>44</v>
      </c>
      <c r="C57" s="5"/>
      <c r="D57" s="36"/>
      <c r="F57">
        <f t="shared" si="0"/>
        <v>86</v>
      </c>
      <c r="G57">
        <f t="shared" si="1"/>
        <v>157</v>
      </c>
      <c r="H57">
        <f t="shared" si="2"/>
        <v>89</v>
      </c>
      <c r="J57">
        <v>86</v>
      </c>
      <c r="K57">
        <v>157</v>
      </c>
      <c r="L57">
        <v>89</v>
      </c>
    </row>
    <row r="58" spans="1:12" ht="16" customHeight="1" x14ac:dyDescent="0.2">
      <c r="A58" s="150"/>
      <c r="B58" s="129" t="s">
        <v>45</v>
      </c>
      <c r="C58" s="5"/>
      <c r="D58" s="37"/>
      <c r="F58">
        <f t="shared" si="0"/>
        <v>150</v>
      </c>
      <c r="G58">
        <f t="shared" si="1"/>
        <v>251</v>
      </c>
      <c r="H58">
        <f t="shared" si="2"/>
        <v>214</v>
      </c>
      <c r="J58">
        <v>150</v>
      </c>
      <c r="K58">
        <v>251</v>
      </c>
      <c r="L58">
        <v>214</v>
      </c>
    </row>
    <row r="59" spans="1:12" ht="16" customHeight="1" x14ac:dyDescent="0.2">
      <c r="A59" s="150"/>
      <c r="B59" s="129" t="s">
        <v>171</v>
      </c>
      <c r="C59" s="5"/>
      <c r="D59" s="38"/>
      <c r="F59">
        <f t="shared" si="0"/>
        <v>103</v>
      </c>
      <c r="G59">
        <f t="shared" si="1"/>
        <v>136</v>
      </c>
      <c r="H59">
        <f t="shared" si="2"/>
        <v>84</v>
      </c>
      <c r="J59">
        <v>103</v>
      </c>
      <c r="K59">
        <v>136</v>
      </c>
      <c r="L59">
        <v>84</v>
      </c>
    </row>
    <row r="60" spans="1:12" ht="16" customHeight="1" x14ac:dyDescent="0.2">
      <c r="A60" s="150"/>
      <c r="B60" s="129" t="s">
        <v>172</v>
      </c>
      <c r="C60" s="5"/>
      <c r="D60" s="39"/>
      <c r="F60">
        <f t="shared" si="0"/>
        <v>136</v>
      </c>
      <c r="G60">
        <f t="shared" si="1"/>
        <v>110</v>
      </c>
      <c r="H60">
        <f t="shared" si="2"/>
        <v>132</v>
      </c>
      <c r="J60">
        <v>136</v>
      </c>
      <c r="K60">
        <v>110</v>
      </c>
      <c r="L60">
        <v>132</v>
      </c>
    </row>
    <row r="61" spans="1:12" ht="16" customHeight="1" x14ac:dyDescent="0.2">
      <c r="A61" s="150"/>
      <c r="B61" s="129" t="s">
        <v>47</v>
      </c>
      <c r="C61" s="5"/>
      <c r="D61" s="40"/>
      <c r="F61">
        <f t="shared" si="0"/>
        <v>133</v>
      </c>
      <c r="G61">
        <f t="shared" si="1"/>
        <v>234</v>
      </c>
      <c r="H61">
        <f t="shared" si="2"/>
        <v>166</v>
      </c>
      <c r="J61">
        <v>133</v>
      </c>
      <c r="K61">
        <v>234</v>
      </c>
      <c r="L61">
        <v>166</v>
      </c>
    </row>
    <row r="62" spans="1:12" ht="16" customHeight="1" x14ac:dyDescent="0.2">
      <c r="A62" s="150"/>
      <c r="B62" s="129" t="s">
        <v>135</v>
      </c>
      <c r="C62" s="5"/>
      <c r="D62" s="41"/>
      <c r="F62">
        <f t="shared" si="0"/>
        <v>158</v>
      </c>
      <c r="G62">
        <f t="shared" si="1"/>
        <v>84</v>
      </c>
      <c r="H62">
        <f t="shared" si="2"/>
        <v>74</v>
      </c>
      <c r="J62">
        <v>158</v>
      </c>
      <c r="K62">
        <v>84</v>
      </c>
      <c r="L62">
        <v>74</v>
      </c>
    </row>
    <row r="63" spans="1:12" ht="16" customHeight="1" x14ac:dyDescent="0.2">
      <c r="A63" s="150"/>
      <c r="B63" s="129" t="s">
        <v>48</v>
      </c>
      <c r="C63" s="5"/>
      <c r="D63" s="42"/>
      <c r="F63">
        <f t="shared" si="0"/>
        <v>80</v>
      </c>
      <c r="G63">
        <f t="shared" si="1"/>
        <v>111</v>
      </c>
      <c r="H63">
        <f t="shared" si="2"/>
        <v>79</v>
      </c>
      <c r="J63">
        <v>80</v>
      </c>
      <c r="K63">
        <v>111</v>
      </c>
      <c r="L63">
        <v>79</v>
      </c>
    </row>
    <row r="64" spans="1:12" ht="16" customHeight="1" x14ac:dyDescent="0.2">
      <c r="A64" s="150"/>
      <c r="B64" s="129" t="s">
        <v>49</v>
      </c>
      <c r="C64" s="5"/>
      <c r="D64" s="43"/>
      <c r="F64">
        <f t="shared" si="0"/>
        <v>96</v>
      </c>
      <c r="G64">
        <f t="shared" si="1"/>
        <v>85</v>
      </c>
      <c r="H64">
        <f t="shared" si="2"/>
        <v>158</v>
      </c>
      <c r="J64">
        <v>96</v>
      </c>
      <c r="K64">
        <v>85</v>
      </c>
      <c r="L64">
        <v>158</v>
      </c>
    </row>
    <row r="65" spans="1:12" ht="16" customHeight="1" x14ac:dyDescent="0.2">
      <c r="A65" s="150"/>
      <c r="B65" s="129" t="s">
        <v>51</v>
      </c>
      <c r="C65" s="5"/>
      <c r="D65" s="44"/>
      <c r="F65">
        <f t="shared" si="0"/>
        <v>225</v>
      </c>
      <c r="G65">
        <f t="shared" si="1"/>
        <v>218</v>
      </c>
      <c r="H65">
        <f t="shared" si="2"/>
        <v>129</v>
      </c>
      <c r="J65">
        <v>225</v>
      </c>
      <c r="K65">
        <v>218</v>
      </c>
      <c r="L65">
        <v>129</v>
      </c>
    </row>
    <row r="66" spans="1:12" ht="16" customHeight="1" x14ac:dyDescent="0.2">
      <c r="A66" s="150"/>
      <c r="B66" s="129" t="s">
        <v>52</v>
      </c>
      <c r="C66" s="5"/>
      <c r="D66" s="45"/>
      <c r="F66">
        <f t="shared" si="0"/>
        <v>93</v>
      </c>
      <c r="G66">
        <f t="shared" si="1"/>
        <v>143</v>
      </c>
      <c r="H66">
        <f t="shared" si="2"/>
        <v>204</v>
      </c>
      <c r="J66">
        <v>93</v>
      </c>
      <c r="K66">
        <v>143</v>
      </c>
      <c r="L66">
        <v>204</v>
      </c>
    </row>
    <row r="67" spans="1:12" ht="16" customHeight="1" x14ac:dyDescent="0.2">
      <c r="A67" s="150"/>
      <c r="B67" s="129" t="s">
        <v>53</v>
      </c>
      <c r="C67" s="5"/>
      <c r="D67" s="46"/>
      <c r="F67">
        <f t="shared" si="0"/>
        <v>239</v>
      </c>
      <c r="G67">
        <f t="shared" si="1"/>
        <v>125</v>
      </c>
      <c r="H67">
        <f t="shared" si="2"/>
        <v>76</v>
      </c>
      <c r="J67">
        <v>239</v>
      </c>
      <c r="K67">
        <v>125</v>
      </c>
      <c r="L67">
        <v>76</v>
      </c>
    </row>
    <row r="68" spans="1:12" ht="16" customHeight="1" x14ac:dyDescent="0.2">
      <c r="A68" s="150"/>
      <c r="B68" s="129" t="s">
        <v>54</v>
      </c>
      <c r="C68" s="5"/>
      <c r="D68" s="47"/>
      <c r="F68">
        <f t="shared" si="0"/>
        <v>242</v>
      </c>
      <c r="G68">
        <f t="shared" si="1"/>
        <v>160</v>
      </c>
      <c r="H68">
        <f t="shared" si="2"/>
        <v>157</v>
      </c>
      <c r="J68">
        <v>242</v>
      </c>
      <c r="K68">
        <v>160</v>
      </c>
      <c r="L68">
        <v>157</v>
      </c>
    </row>
    <row r="69" spans="1:12" ht="16" customHeight="1" x14ac:dyDescent="0.2">
      <c r="A69" s="150"/>
      <c r="B69" s="129" t="s">
        <v>55</v>
      </c>
      <c r="C69" s="5"/>
      <c r="D69" s="10"/>
      <c r="F69">
        <f t="shared" si="0"/>
        <v>255</v>
      </c>
      <c r="G69">
        <f t="shared" si="1"/>
        <v>255</v>
      </c>
      <c r="H69">
        <f t="shared" si="2"/>
        <v>255</v>
      </c>
      <c r="J69">
        <v>0</v>
      </c>
      <c r="K69">
        <v>0</v>
      </c>
      <c r="L69">
        <v>0</v>
      </c>
    </row>
    <row r="70" spans="1:12" ht="16" customHeight="1" x14ac:dyDescent="0.2">
      <c r="A70" s="150"/>
      <c r="B70" s="129" t="s">
        <v>56</v>
      </c>
      <c r="C70" s="5"/>
      <c r="D70" s="48"/>
      <c r="F70">
        <f t="shared" si="0"/>
        <v>75</v>
      </c>
      <c r="G70">
        <f t="shared" si="1"/>
        <v>123</v>
      </c>
      <c r="H70">
        <f t="shared" si="2"/>
        <v>127</v>
      </c>
      <c r="J70">
        <v>75</v>
      </c>
      <c r="K70">
        <v>123</v>
      </c>
      <c r="L70">
        <v>127</v>
      </c>
    </row>
    <row r="71" spans="1:12" ht="16" customHeight="1" x14ac:dyDescent="0.2">
      <c r="A71" s="150"/>
      <c r="B71" s="129" t="s">
        <v>77</v>
      </c>
      <c r="C71" s="5"/>
      <c r="D71" s="10"/>
      <c r="F71">
        <f t="shared" si="0"/>
        <v>255</v>
      </c>
      <c r="G71">
        <f t="shared" si="1"/>
        <v>255</v>
      </c>
      <c r="H71">
        <f t="shared" si="2"/>
        <v>255</v>
      </c>
      <c r="J71">
        <v>0</v>
      </c>
      <c r="K71">
        <v>0</v>
      </c>
      <c r="L71">
        <v>0</v>
      </c>
    </row>
    <row r="72" spans="1:12" ht="16" customHeight="1" thickBot="1" x14ac:dyDescent="0.25">
      <c r="A72" s="151"/>
      <c r="B72" s="132" t="s">
        <v>58</v>
      </c>
      <c r="C72" s="104"/>
      <c r="D72" s="111"/>
      <c r="F72">
        <f t="shared" si="0"/>
        <v>211</v>
      </c>
      <c r="G72">
        <f t="shared" si="1"/>
        <v>178</v>
      </c>
      <c r="H72">
        <f t="shared" si="2"/>
        <v>74</v>
      </c>
      <c r="J72">
        <v>211</v>
      </c>
      <c r="K72">
        <v>178</v>
      </c>
      <c r="L72">
        <v>74</v>
      </c>
    </row>
    <row r="73" spans="1:12" ht="16" customHeight="1" thickTop="1" x14ac:dyDescent="0.2">
      <c r="A73" s="149" t="s">
        <v>143</v>
      </c>
      <c r="B73" s="128" t="s">
        <v>23</v>
      </c>
      <c r="C73" s="102"/>
      <c r="D73" s="112"/>
      <c r="F73">
        <f t="shared" si="0"/>
        <v>92</v>
      </c>
      <c r="G73">
        <f t="shared" si="1"/>
        <v>173</v>
      </c>
      <c r="H73">
        <f t="shared" si="2"/>
        <v>85</v>
      </c>
      <c r="J73">
        <v>92</v>
      </c>
      <c r="K73">
        <v>173</v>
      </c>
      <c r="L73">
        <v>85</v>
      </c>
    </row>
    <row r="74" spans="1:12" ht="16" customHeight="1" x14ac:dyDescent="0.2">
      <c r="A74" s="150"/>
      <c r="B74" s="129" t="s">
        <v>68</v>
      </c>
      <c r="C74" s="5"/>
      <c r="D74" s="49"/>
      <c r="F74">
        <f t="shared" si="0"/>
        <v>209</v>
      </c>
      <c r="G74">
        <f t="shared" si="1"/>
        <v>90</v>
      </c>
      <c r="H74">
        <f t="shared" si="2"/>
        <v>105</v>
      </c>
      <c r="J74">
        <v>209</v>
      </c>
      <c r="K74">
        <v>90</v>
      </c>
      <c r="L74">
        <v>105</v>
      </c>
    </row>
    <row r="75" spans="1:12" ht="16" customHeight="1" x14ac:dyDescent="0.2">
      <c r="A75" s="150"/>
      <c r="B75" s="129" t="s">
        <v>26</v>
      </c>
      <c r="C75" s="5"/>
      <c r="D75" s="50"/>
      <c r="F75">
        <f t="shared" ref="F75:F140" si="18" xml:space="preserve"> getRGB_R(D75)</f>
        <v>125</v>
      </c>
      <c r="G75">
        <f t="shared" ref="G75:G140" si="19" xml:space="preserve"> getRGB_G(D75)</f>
        <v>243</v>
      </c>
      <c r="H75">
        <f t="shared" ref="H75:H140" si="20" xml:space="preserve"> getRGB_B(D75)</f>
        <v>102</v>
      </c>
      <c r="J75">
        <v>125</v>
      </c>
      <c r="K75">
        <v>243</v>
      </c>
      <c r="L75">
        <v>102</v>
      </c>
    </row>
    <row r="76" spans="1:12" ht="16" customHeight="1" x14ac:dyDescent="0.2">
      <c r="A76" s="150"/>
      <c r="B76" s="129" t="s">
        <v>69</v>
      </c>
      <c r="C76" s="5"/>
      <c r="D76" s="51"/>
      <c r="F76">
        <f t="shared" si="18"/>
        <v>44</v>
      </c>
      <c r="G76">
        <f t="shared" si="19"/>
        <v>66</v>
      </c>
      <c r="H76">
        <f t="shared" si="20"/>
        <v>245</v>
      </c>
      <c r="J76">
        <v>44</v>
      </c>
      <c r="K76">
        <v>66</v>
      </c>
      <c r="L76">
        <v>245</v>
      </c>
    </row>
    <row r="77" spans="1:12" ht="16" customHeight="1" x14ac:dyDescent="0.2">
      <c r="A77" s="150"/>
      <c r="B77" s="129" t="s">
        <v>70</v>
      </c>
      <c r="C77" s="5"/>
      <c r="D77" s="52"/>
      <c r="F77">
        <f t="shared" si="18"/>
        <v>228</v>
      </c>
      <c r="G77">
        <f t="shared" si="19"/>
        <v>184</v>
      </c>
      <c r="H77">
        <f t="shared" si="20"/>
        <v>251</v>
      </c>
      <c r="J77">
        <v>228</v>
      </c>
      <c r="K77">
        <v>184</v>
      </c>
      <c r="L77">
        <v>251</v>
      </c>
    </row>
    <row r="78" spans="1:12" ht="16" customHeight="1" x14ac:dyDescent="0.2">
      <c r="A78" s="150"/>
      <c r="B78" s="129" t="s">
        <v>71</v>
      </c>
      <c r="C78" s="5"/>
      <c r="D78" s="53"/>
      <c r="F78">
        <f t="shared" si="18"/>
        <v>92</v>
      </c>
      <c r="G78">
        <f t="shared" si="19"/>
        <v>141</v>
      </c>
      <c r="H78">
        <f t="shared" si="20"/>
        <v>149</v>
      </c>
      <c r="J78">
        <v>92</v>
      </c>
      <c r="K78">
        <v>141</v>
      </c>
      <c r="L78">
        <v>149</v>
      </c>
    </row>
    <row r="79" spans="1:12" ht="16" customHeight="1" x14ac:dyDescent="0.2">
      <c r="A79" s="150"/>
      <c r="B79" s="129" t="s">
        <v>72</v>
      </c>
      <c r="C79" s="5"/>
      <c r="D79" s="54"/>
      <c r="F79">
        <f t="shared" si="18"/>
        <v>95</v>
      </c>
      <c r="G79">
        <f t="shared" si="19"/>
        <v>77</v>
      </c>
      <c r="H79">
        <f t="shared" si="20"/>
        <v>157</v>
      </c>
      <c r="J79">
        <v>95</v>
      </c>
      <c r="K79">
        <v>77</v>
      </c>
      <c r="L79">
        <v>157</v>
      </c>
    </row>
    <row r="80" spans="1:12" ht="16" customHeight="1" x14ac:dyDescent="0.2">
      <c r="A80" s="150"/>
      <c r="B80" s="129" t="s">
        <v>75</v>
      </c>
      <c r="C80" s="5"/>
      <c r="D80" s="55"/>
      <c r="F80">
        <f t="shared" si="18"/>
        <v>147</v>
      </c>
      <c r="G80">
        <f t="shared" si="19"/>
        <v>200</v>
      </c>
      <c r="H80">
        <f t="shared" si="20"/>
        <v>125</v>
      </c>
      <c r="J80">
        <v>147</v>
      </c>
      <c r="K80">
        <v>200</v>
      </c>
      <c r="L80">
        <v>125</v>
      </c>
    </row>
    <row r="81" spans="1:12" ht="16" customHeight="1" x14ac:dyDescent="0.2">
      <c r="A81" s="150"/>
      <c r="B81" s="129" t="s">
        <v>73</v>
      </c>
      <c r="C81" s="5"/>
      <c r="D81" s="56"/>
      <c r="F81">
        <f t="shared" si="18"/>
        <v>65</v>
      </c>
      <c r="G81">
        <f t="shared" si="19"/>
        <v>93</v>
      </c>
      <c r="H81">
        <f t="shared" si="20"/>
        <v>246</v>
      </c>
      <c r="J81">
        <v>65</v>
      </c>
      <c r="K81">
        <v>93</v>
      </c>
      <c r="L81">
        <v>246</v>
      </c>
    </row>
    <row r="82" spans="1:12" ht="16" customHeight="1" x14ac:dyDescent="0.2">
      <c r="A82" s="150"/>
      <c r="B82" s="129" t="s">
        <v>74</v>
      </c>
      <c r="C82" s="5"/>
      <c r="D82" s="10"/>
      <c r="F82">
        <f t="shared" si="18"/>
        <v>255</v>
      </c>
      <c r="G82">
        <f t="shared" si="19"/>
        <v>255</v>
      </c>
      <c r="H82">
        <f t="shared" si="20"/>
        <v>255</v>
      </c>
      <c r="J82">
        <v>0</v>
      </c>
      <c r="K82">
        <v>0</v>
      </c>
      <c r="L82">
        <v>0</v>
      </c>
    </row>
    <row r="83" spans="1:12" ht="16" customHeight="1" x14ac:dyDescent="0.2">
      <c r="A83" s="150"/>
      <c r="B83" s="129" t="s">
        <v>79</v>
      </c>
      <c r="C83" s="5"/>
      <c r="D83" s="57"/>
      <c r="F83">
        <f t="shared" si="18"/>
        <v>237</v>
      </c>
      <c r="G83">
        <f t="shared" si="19"/>
        <v>95</v>
      </c>
      <c r="H83">
        <f t="shared" si="20"/>
        <v>81</v>
      </c>
      <c r="J83">
        <v>237</v>
      </c>
      <c r="K83">
        <v>95</v>
      </c>
      <c r="L83">
        <v>81</v>
      </c>
    </row>
    <row r="84" spans="1:12" ht="16" customHeight="1" x14ac:dyDescent="0.2">
      <c r="A84" s="150"/>
      <c r="B84" s="129" t="s">
        <v>78</v>
      </c>
      <c r="C84" s="5"/>
      <c r="D84" s="58"/>
      <c r="F84">
        <f t="shared" si="18"/>
        <v>65</v>
      </c>
      <c r="G84">
        <f t="shared" si="19"/>
        <v>104</v>
      </c>
      <c r="H84">
        <f t="shared" si="20"/>
        <v>125</v>
      </c>
      <c r="J84">
        <v>65</v>
      </c>
      <c r="K84">
        <v>104</v>
      </c>
      <c r="L84">
        <v>125</v>
      </c>
    </row>
    <row r="85" spans="1:12" ht="16" customHeight="1" x14ac:dyDescent="0.2">
      <c r="A85" s="150"/>
      <c r="B85" s="129" t="s">
        <v>167</v>
      </c>
      <c r="C85" s="5"/>
      <c r="D85" s="59"/>
      <c r="F85">
        <f t="shared" ref="F85" si="21" xml:space="preserve"> getRGB_R(D85)</f>
        <v>61</v>
      </c>
      <c r="G85">
        <f t="shared" ref="G85" si="22" xml:space="preserve"> getRGB_G(D85)</f>
        <v>71</v>
      </c>
      <c r="H85">
        <f t="shared" ref="H85" si="23" xml:space="preserve"> getRGB_B(D85)</f>
        <v>229</v>
      </c>
      <c r="J85">
        <v>61</v>
      </c>
      <c r="K85">
        <v>71</v>
      </c>
      <c r="L85">
        <v>229</v>
      </c>
    </row>
    <row r="86" spans="1:12" ht="16" customHeight="1" x14ac:dyDescent="0.2">
      <c r="A86" s="150"/>
      <c r="B86" s="129" t="s">
        <v>168</v>
      </c>
      <c r="C86" s="5"/>
      <c r="D86" s="59"/>
      <c r="F86">
        <f t="shared" si="18"/>
        <v>61</v>
      </c>
      <c r="G86">
        <f t="shared" si="19"/>
        <v>71</v>
      </c>
      <c r="H86">
        <f t="shared" si="20"/>
        <v>229</v>
      </c>
      <c r="J86">
        <v>61</v>
      </c>
      <c r="K86">
        <v>71</v>
      </c>
      <c r="L86">
        <v>229</v>
      </c>
    </row>
    <row r="87" spans="1:12" ht="16" customHeight="1" x14ac:dyDescent="0.2">
      <c r="A87" s="150"/>
      <c r="B87" s="129" t="s">
        <v>57</v>
      </c>
      <c r="C87" s="5"/>
      <c r="D87" s="10"/>
      <c r="F87">
        <f t="shared" si="18"/>
        <v>255</v>
      </c>
      <c r="G87">
        <f t="shared" si="19"/>
        <v>255</v>
      </c>
      <c r="H87">
        <f t="shared" si="20"/>
        <v>255</v>
      </c>
      <c r="J87">
        <v>0</v>
      </c>
      <c r="K87">
        <v>0</v>
      </c>
      <c r="L87">
        <v>0</v>
      </c>
    </row>
    <row r="88" spans="1:12" ht="16" customHeight="1" x14ac:dyDescent="0.2">
      <c r="A88" s="150"/>
      <c r="B88" s="129" t="s">
        <v>169</v>
      </c>
      <c r="C88" s="5"/>
      <c r="D88" s="60"/>
      <c r="F88">
        <f t="shared" ref="F88" si="24" xml:space="preserve"> getRGB_R(D88)</f>
        <v>85</v>
      </c>
      <c r="G88">
        <f t="shared" ref="G88" si="25" xml:space="preserve"> getRGB_G(D88)</f>
        <v>139</v>
      </c>
      <c r="H88">
        <f t="shared" ref="H88" si="26" xml:space="preserve"> getRGB_B(D88)</f>
        <v>244</v>
      </c>
      <c r="J88">
        <v>85</v>
      </c>
      <c r="K88">
        <v>139</v>
      </c>
      <c r="L88">
        <v>244</v>
      </c>
    </row>
    <row r="89" spans="1:12" ht="16" customHeight="1" x14ac:dyDescent="0.2">
      <c r="A89" s="150"/>
      <c r="B89" s="129" t="s">
        <v>170</v>
      </c>
      <c r="C89" s="5"/>
      <c r="D89" s="60"/>
      <c r="F89">
        <f t="shared" si="18"/>
        <v>85</v>
      </c>
      <c r="G89">
        <f t="shared" si="19"/>
        <v>139</v>
      </c>
      <c r="H89">
        <f t="shared" si="20"/>
        <v>244</v>
      </c>
      <c r="J89">
        <v>85</v>
      </c>
      <c r="K89">
        <v>139</v>
      </c>
      <c r="L89">
        <v>244</v>
      </c>
    </row>
    <row r="90" spans="1:12" ht="16" customHeight="1" thickBot="1" x14ac:dyDescent="0.25">
      <c r="A90" s="151"/>
      <c r="B90" s="130" t="s">
        <v>76</v>
      </c>
      <c r="C90" s="104"/>
      <c r="D90" s="113"/>
      <c r="F90">
        <f t="shared" si="18"/>
        <v>186</v>
      </c>
      <c r="G90">
        <f t="shared" si="19"/>
        <v>203</v>
      </c>
      <c r="H90">
        <f t="shared" si="20"/>
        <v>116</v>
      </c>
      <c r="J90">
        <v>186</v>
      </c>
      <c r="K90">
        <v>203</v>
      </c>
      <c r="L90">
        <v>116</v>
      </c>
    </row>
    <row r="91" spans="1:12" ht="16" customHeight="1" thickTop="1" x14ac:dyDescent="0.2">
      <c r="A91" s="149" t="s">
        <v>144</v>
      </c>
      <c r="B91" s="133" t="s">
        <v>61</v>
      </c>
      <c r="C91" s="102"/>
      <c r="D91" s="114"/>
      <c r="F91">
        <f t="shared" si="18"/>
        <v>255</v>
      </c>
      <c r="G91">
        <f t="shared" si="19"/>
        <v>255</v>
      </c>
      <c r="H91">
        <f t="shared" si="20"/>
        <v>255</v>
      </c>
      <c r="J91">
        <v>0</v>
      </c>
      <c r="K91">
        <v>0</v>
      </c>
      <c r="L91">
        <v>0</v>
      </c>
    </row>
    <row r="92" spans="1:12" ht="16" customHeight="1" x14ac:dyDescent="0.2">
      <c r="A92" s="150"/>
      <c r="B92" s="129" t="s">
        <v>62</v>
      </c>
      <c r="C92" s="5"/>
      <c r="D92" s="61"/>
      <c r="F92">
        <f t="shared" si="18"/>
        <v>65</v>
      </c>
      <c r="G92">
        <f t="shared" si="19"/>
        <v>96</v>
      </c>
      <c r="H92">
        <f t="shared" si="20"/>
        <v>90</v>
      </c>
      <c r="J92">
        <v>65</v>
      </c>
      <c r="K92">
        <v>96</v>
      </c>
      <c r="L92">
        <v>90</v>
      </c>
    </row>
    <row r="93" spans="1:12" ht="16" customHeight="1" x14ac:dyDescent="0.2">
      <c r="A93" s="150"/>
      <c r="B93" s="129" t="s">
        <v>63</v>
      </c>
      <c r="C93" s="5"/>
      <c r="D93" s="62"/>
      <c r="F93">
        <f t="shared" si="18"/>
        <v>66</v>
      </c>
      <c r="G93">
        <f t="shared" si="19"/>
        <v>94</v>
      </c>
      <c r="H93">
        <f t="shared" si="20"/>
        <v>89</v>
      </c>
      <c r="J93">
        <v>66</v>
      </c>
      <c r="K93">
        <v>94</v>
      </c>
      <c r="L93">
        <v>89</v>
      </c>
    </row>
    <row r="94" spans="1:12" ht="16" customHeight="1" x14ac:dyDescent="0.2">
      <c r="A94" s="150"/>
      <c r="B94" s="129" t="s">
        <v>64</v>
      </c>
      <c r="C94" s="5"/>
      <c r="D94" s="63"/>
      <c r="F94">
        <f t="shared" si="18"/>
        <v>66</v>
      </c>
      <c r="G94">
        <f t="shared" si="19"/>
        <v>67</v>
      </c>
      <c r="H94">
        <f t="shared" si="20"/>
        <v>245</v>
      </c>
      <c r="J94">
        <v>66</v>
      </c>
      <c r="K94">
        <v>67</v>
      </c>
      <c r="L94">
        <v>245</v>
      </c>
    </row>
    <row r="95" spans="1:12" ht="16" customHeight="1" x14ac:dyDescent="0.2">
      <c r="A95" s="150"/>
      <c r="B95" s="129" t="s">
        <v>65</v>
      </c>
      <c r="C95" s="5"/>
      <c r="D95" s="10"/>
      <c r="F95">
        <f t="shared" si="18"/>
        <v>255</v>
      </c>
      <c r="G95">
        <f t="shared" si="19"/>
        <v>255</v>
      </c>
      <c r="H95">
        <f t="shared" si="20"/>
        <v>255</v>
      </c>
      <c r="J95">
        <v>0</v>
      </c>
      <c r="K95">
        <v>0</v>
      </c>
      <c r="L95">
        <v>0</v>
      </c>
    </row>
    <row r="96" spans="1:12" ht="16" customHeight="1" thickBot="1" x14ac:dyDescent="0.25">
      <c r="A96" s="151"/>
      <c r="B96" s="132" t="s">
        <v>66</v>
      </c>
      <c r="C96" s="104"/>
      <c r="D96" s="115"/>
      <c r="F96">
        <f t="shared" si="18"/>
        <v>71</v>
      </c>
      <c r="G96">
        <f t="shared" si="19"/>
        <v>92</v>
      </c>
      <c r="H96">
        <f t="shared" si="20"/>
        <v>72</v>
      </c>
      <c r="J96">
        <v>71</v>
      </c>
      <c r="K96">
        <v>92</v>
      </c>
      <c r="L96">
        <v>72</v>
      </c>
    </row>
    <row r="97" spans="1:12" ht="16" customHeight="1" thickTop="1" x14ac:dyDescent="0.2">
      <c r="A97" s="149" t="s">
        <v>145</v>
      </c>
      <c r="B97" s="128" t="s">
        <v>82</v>
      </c>
      <c r="C97" s="102"/>
      <c r="D97" s="116"/>
      <c r="F97">
        <f t="shared" si="18"/>
        <v>55</v>
      </c>
      <c r="G97">
        <f t="shared" si="19"/>
        <v>70</v>
      </c>
      <c r="H97">
        <f t="shared" si="20"/>
        <v>86</v>
      </c>
      <c r="J97">
        <v>55</v>
      </c>
      <c r="K97">
        <v>70</v>
      </c>
      <c r="L97">
        <v>86</v>
      </c>
    </row>
    <row r="98" spans="1:12" ht="16" customHeight="1" x14ac:dyDescent="0.2">
      <c r="A98" s="150"/>
      <c r="B98" s="129" t="s">
        <v>80</v>
      </c>
      <c r="C98" s="5"/>
      <c r="D98" s="64"/>
      <c r="F98">
        <f t="shared" si="18"/>
        <v>140</v>
      </c>
      <c r="G98">
        <f t="shared" si="19"/>
        <v>243</v>
      </c>
      <c r="H98">
        <f t="shared" si="20"/>
        <v>204</v>
      </c>
      <c r="J98">
        <v>140</v>
      </c>
      <c r="K98">
        <v>243</v>
      </c>
      <c r="L98">
        <v>204</v>
      </c>
    </row>
    <row r="99" spans="1:12" ht="16" customHeight="1" x14ac:dyDescent="0.2">
      <c r="A99" s="150"/>
      <c r="B99" s="129" t="s">
        <v>84</v>
      </c>
      <c r="C99" s="5"/>
      <c r="D99" s="140"/>
      <c r="F99">
        <f t="shared" si="18"/>
        <v>50</v>
      </c>
      <c r="G99">
        <f t="shared" si="19"/>
        <v>163</v>
      </c>
      <c r="H99">
        <f t="shared" si="20"/>
        <v>51</v>
      </c>
      <c r="J99">
        <v>50</v>
      </c>
      <c r="K99">
        <v>163</v>
      </c>
      <c r="L99">
        <v>51</v>
      </c>
    </row>
    <row r="100" spans="1:12" ht="16" customHeight="1" x14ac:dyDescent="0.2">
      <c r="A100" s="150"/>
      <c r="B100" s="129" t="s">
        <v>81</v>
      </c>
      <c r="C100" s="5"/>
      <c r="D100" s="142"/>
      <c r="F100">
        <f t="shared" si="18"/>
        <v>95</v>
      </c>
      <c r="G100">
        <f t="shared" si="19"/>
        <v>254</v>
      </c>
      <c r="H100">
        <f t="shared" si="20"/>
        <v>61</v>
      </c>
      <c r="J100">
        <v>95</v>
      </c>
      <c r="K100">
        <v>254</v>
      </c>
      <c r="L100">
        <v>61</v>
      </c>
    </row>
    <row r="101" spans="1:12" ht="16" customHeight="1" x14ac:dyDescent="0.2">
      <c r="A101" s="150"/>
      <c r="B101" s="129" t="s">
        <v>83</v>
      </c>
      <c r="C101" s="5"/>
      <c r="D101" s="65"/>
      <c r="F101">
        <f t="shared" si="18"/>
        <v>255</v>
      </c>
      <c r="G101">
        <f t="shared" si="19"/>
        <v>243</v>
      </c>
      <c r="H101">
        <f t="shared" si="20"/>
        <v>166</v>
      </c>
      <c r="J101">
        <v>255</v>
      </c>
      <c r="K101">
        <v>243</v>
      </c>
      <c r="L101">
        <v>166</v>
      </c>
    </row>
    <row r="102" spans="1:12" ht="16" customHeight="1" x14ac:dyDescent="0.2">
      <c r="A102" s="150"/>
      <c r="B102" s="129" t="s">
        <v>85</v>
      </c>
      <c r="C102" s="5"/>
      <c r="D102" s="66"/>
      <c r="F102">
        <f t="shared" si="18"/>
        <v>102</v>
      </c>
      <c r="G102">
        <f t="shared" si="19"/>
        <v>183</v>
      </c>
      <c r="H102">
        <f t="shared" si="20"/>
        <v>249</v>
      </c>
      <c r="J102">
        <v>102</v>
      </c>
      <c r="K102">
        <v>183</v>
      </c>
      <c r="L102">
        <v>249</v>
      </c>
    </row>
    <row r="103" spans="1:12" ht="16" customHeight="1" x14ac:dyDescent="0.2">
      <c r="A103" s="150"/>
      <c r="B103" s="129" t="s">
        <v>86</v>
      </c>
      <c r="C103" s="5"/>
      <c r="D103" s="10"/>
      <c r="F103">
        <f t="shared" si="18"/>
        <v>255</v>
      </c>
      <c r="G103">
        <f t="shared" si="19"/>
        <v>255</v>
      </c>
      <c r="H103">
        <f t="shared" si="20"/>
        <v>255</v>
      </c>
      <c r="J103">
        <v>0</v>
      </c>
      <c r="K103">
        <v>0</v>
      </c>
      <c r="L103">
        <v>0</v>
      </c>
    </row>
    <row r="104" spans="1:12" ht="16" customHeight="1" x14ac:dyDescent="0.2">
      <c r="A104" s="150"/>
      <c r="B104" s="129" t="s">
        <v>87</v>
      </c>
      <c r="C104" s="5"/>
      <c r="D104" s="67"/>
      <c r="F104">
        <f t="shared" si="18"/>
        <v>185</v>
      </c>
      <c r="G104">
        <f t="shared" si="19"/>
        <v>88</v>
      </c>
      <c r="H104">
        <f t="shared" si="20"/>
        <v>212</v>
      </c>
      <c r="J104">
        <v>185</v>
      </c>
      <c r="K104">
        <v>88</v>
      </c>
      <c r="L104">
        <v>212</v>
      </c>
    </row>
    <row r="105" spans="1:12" ht="16" customHeight="1" x14ac:dyDescent="0.2">
      <c r="A105" s="150"/>
      <c r="B105" s="129" t="s">
        <v>156</v>
      </c>
      <c r="C105" s="5"/>
      <c r="D105" s="141"/>
      <c r="F105">
        <f t="shared" si="18"/>
        <v>57</v>
      </c>
      <c r="G105">
        <f t="shared" si="19"/>
        <v>198</v>
      </c>
      <c r="H105">
        <f t="shared" si="20"/>
        <v>53</v>
      </c>
      <c r="J105">
        <v>57</v>
      </c>
      <c r="K105">
        <v>198</v>
      </c>
      <c r="L105">
        <v>53</v>
      </c>
    </row>
    <row r="106" spans="1:12" ht="16" customHeight="1" x14ac:dyDescent="0.2">
      <c r="A106" s="150"/>
      <c r="B106" s="129" t="s">
        <v>91</v>
      </c>
      <c r="C106" s="5"/>
      <c r="D106" s="143"/>
      <c r="F106">
        <f t="shared" si="18"/>
        <v>142</v>
      </c>
      <c r="G106">
        <f t="shared" si="19"/>
        <v>115</v>
      </c>
      <c r="H106">
        <f t="shared" si="20"/>
        <v>57</v>
      </c>
      <c r="J106">
        <v>142</v>
      </c>
      <c r="K106">
        <v>115</v>
      </c>
      <c r="L106">
        <v>57</v>
      </c>
    </row>
    <row r="107" spans="1:12" ht="16" customHeight="1" x14ac:dyDescent="0.2">
      <c r="A107" s="150"/>
      <c r="B107" s="129" t="s">
        <v>88</v>
      </c>
      <c r="C107" s="5"/>
      <c r="D107" s="68"/>
      <c r="F107">
        <f t="shared" si="18"/>
        <v>253</v>
      </c>
      <c r="G107">
        <f t="shared" si="19"/>
        <v>86</v>
      </c>
      <c r="H107">
        <f t="shared" si="20"/>
        <v>63</v>
      </c>
      <c r="J107">
        <v>253</v>
      </c>
      <c r="K107">
        <v>86</v>
      </c>
      <c r="L107">
        <v>63</v>
      </c>
    </row>
    <row r="108" spans="1:12" ht="16" customHeight="1" x14ac:dyDescent="0.2">
      <c r="A108" s="150"/>
      <c r="B108" s="129" t="s">
        <v>89</v>
      </c>
      <c r="C108" s="5"/>
      <c r="D108" s="69"/>
      <c r="F108">
        <f t="shared" si="18"/>
        <v>198</v>
      </c>
      <c r="G108">
        <f t="shared" si="19"/>
        <v>88</v>
      </c>
      <c r="H108">
        <f t="shared" si="20"/>
        <v>164</v>
      </c>
      <c r="J108">
        <v>198</v>
      </c>
      <c r="K108">
        <v>88</v>
      </c>
      <c r="L108">
        <v>164</v>
      </c>
    </row>
    <row r="109" spans="1:12" ht="16" customHeight="1" thickBot="1" x14ac:dyDescent="0.25">
      <c r="A109" s="151"/>
      <c r="B109" s="130" t="s">
        <v>90</v>
      </c>
      <c r="C109" s="104"/>
      <c r="D109" s="117"/>
      <c r="F109">
        <f t="shared" si="18"/>
        <v>70</v>
      </c>
      <c r="G109">
        <f t="shared" si="19"/>
        <v>81</v>
      </c>
      <c r="H109">
        <f t="shared" si="20"/>
        <v>251</v>
      </c>
      <c r="J109">
        <v>70</v>
      </c>
      <c r="K109">
        <v>81</v>
      </c>
      <c r="L109">
        <v>251</v>
      </c>
    </row>
    <row r="110" spans="1:12" ht="16" customHeight="1" thickTop="1" x14ac:dyDescent="0.2">
      <c r="A110" s="149" t="s">
        <v>138</v>
      </c>
      <c r="B110" s="133" t="s">
        <v>92</v>
      </c>
      <c r="C110" s="102"/>
      <c r="D110" s="118"/>
      <c r="F110">
        <f t="shared" si="18"/>
        <v>72</v>
      </c>
      <c r="G110">
        <f t="shared" si="19"/>
        <v>255</v>
      </c>
      <c r="H110">
        <f t="shared" si="20"/>
        <v>67</v>
      </c>
      <c r="J110">
        <v>72</v>
      </c>
      <c r="K110">
        <v>255</v>
      </c>
      <c r="L110">
        <v>67</v>
      </c>
    </row>
    <row r="111" spans="1:12" ht="16" customHeight="1" x14ac:dyDescent="0.2">
      <c r="A111" s="150"/>
      <c r="B111" s="129" t="s">
        <v>93</v>
      </c>
      <c r="C111" s="5"/>
      <c r="D111" s="70"/>
      <c r="F111">
        <f t="shared" si="18"/>
        <v>187</v>
      </c>
      <c r="G111">
        <f t="shared" si="19"/>
        <v>228</v>
      </c>
      <c r="H111">
        <f t="shared" si="20"/>
        <v>80</v>
      </c>
      <c r="J111">
        <v>187</v>
      </c>
      <c r="K111">
        <v>228</v>
      </c>
      <c r="L111">
        <v>80</v>
      </c>
    </row>
    <row r="112" spans="1:12" ht="16" customHeight="1" x14ac:dyDescent="0.2">
      <c r="A112" s="150"/>
      <c r="B112" s="129" t="s">
        <v>94</v>
      </c>
      <c r="C112" s="5"/>
      <c r="D112" s="71"/>
      <c r="F112">
        <f t="shared" si="18"/>
        <v>255</v>
      </c>
      <c r="G112">
        <f t="shared" si="19"/>
        <v>255</v>
      </c>
      <c r="H112">
        <f t="shared" si="20"/>
        <v>138</v>
      </c>
      <c r="J112">
        <v>255</v>
      </c>
      <c r="K112">
        <v>255</v>
      </c>
      <c r="L112">
        <v>138</v>
      </c>
    </row>
    <row r="113" spans="1:12" ht="16" customHeight="1" x14ac:dyDescent="0.2">
      <c r="A113" s="150"/>
      <c r="B113" s="129" t="s">
        <v>95</v>
      </c>
      <c r="C113" s="5"/>
      <c r="D113" s="72"/>
      <c r="F113">
        <f t="shared" si="18"/>
        <v>99</v>
      </c>
      <c r="G113">
        <f t="shared" si="19"/>
        <v>255</v>
      </c>
      <c r="H113">
        <f t="shared" si="20"/>
        <v>255</v>
      </c>
      <c r="J113">
        <v>99</v>
      </c>
      <c r="K113">
        <v>255</v>
      </c>
      <c r="L113">
        <v>255</v>
      </c>
    </row>
    <row r="114" spans="1:12" ht="16" customHeight="1" x14ac:dyDescent="0.2">
      <c r="A114" s="150"/>
      <c r="B114" s="129" t="s">
        <v>96</v>
      </c>
      <c r="C114" s="5"/>
      <c r="D114" s="73"/>
      <c r="F114">
        <f t="shared" si="18"/>
        <v>255</v>
      </c>
      <c r="G114">
        <f t="shared" si="19"/>
        <v>169</v>
      </c>
      <c r="H114">
        <f t="shared" si="20"/>
        <v>103</v>
      </c>
      <c r="J114">
        <v>255</v>
      </c>
      <c r="K114">
        <v>169</v>
      </c>
      <c r="L114">
        <v>103</v>
      </c>
    </row>
    <row r="115" spans="1:12" ht="16" customHeight="1" x14ac:dyDescent="0.2">
      <c r="A115" s="150"/>
      <c r="B115" s="129" t="s">
        <v>97</v>
      </c>
      <c r="C115" s="5"/>
      <c r="D115" s="74"/>
      <c r="F115">
        <f t="shared" si="18"/>
        <v>239</v>
      </c>
      <c r="G115">
        <f t="shared" si="19"/>
        <v>95</v>
      </c>
      <c r="H115">
        <f t="shared" si="20"/>
        <v>137</v>
      </c>
      <c r="J115">
        <v>239</v>
      </c>
      <c r="K115">
        <v>95</v>
      </c>
      <c r="L115">
        <v>137</v>
      </c>
    </row>
    <row r="116" spans="1:12" ht="16" customHeight="1" x14ac:dyDescent="0.2">
      <c r="A116" s="150"/>
      <c r="B116" s="129" t="s">
        <v>98</v>
      </c>
      <c r="C116" s="5"/>
      <c r="D116" s="75"/>
      <c r="F116">
        <f t="shared" si="18"/>
        <v>255</v>
      </c>
      <c r="G116">
        <f t="shared" si="19"/>
        <v>174</v>
      </c>
      <c r="H116">
        <f t="shared" si="20"/>
        <v>243</v>
      </c>
      <c r="J116">
        <v>255</v>
      </c>
      <c r="K116">
        <v>174</v>
      </c>
      <c r="L116">
        <v>243</v>
      </c>
    </row>
    <row r="117" spans="1:12" ht="16" customHeight="1" x14ac:dyDescent="0.2">
      <c r="A117" s="150"/>
      <c r="B117" s="129" t="s">
        <v>99</v>
      </c>
      <c r="C117" s="5"/>
      <c r="D117" s="10"/>
      <c r="F117">
        <f t="shared" si="18"/>
        <v>255</v>
      </c>
      <c r="G117">
        <f t="shared" si="19"/>
        <v>255</v>
      </c>
      <c r="H117">
        <f t="shared" si="20"/>
        <v>255</v>
      </c>
      <c r="J117">
        <v>0</v>
      </c>
      <c r="K117">
        <v>0</v>
      </c>
      <c r="L117">
        <v>0</v>
      </c>
    </row>
    <row r="118" spans="1:12" ht="16" customHeight="1" thickBot="1" x14ac:dyDescent="0.25">
      <c r="A118" s="151"/>
      <c r="B118" s="132" t="s">
        <v>100</v>
      </c>
      <c r="C118" s="104"/>
      <c r="D118" s="119"/>
      <c r="F118">
        <f t="shared" si="18"/>
        <v>57</v>
      </c>
      <c r="G118">
        <f t="shared" si="19"/>
        <v>85</v>
      </c>
      <c r="H118">
        <f t="shared" si="20"/>
        <v>255</v>
      </c>
      <c r="J118">
        <v>57</v>
      </c>
      <c r="K118">
        <v>85</v>
      </c>
      <c r="L118">
        <v>255</v>
      </c>
    </row>
    <row r="119" spans="1:12" ht="16" customHeight="1" thickTop="1" x14ac:dyDescent="0.2">
      <c r="A119" s="149" t="s">
        <v>146</v>
      </c>
      <c r="B119" s="128" t="s">
        <v>101</v>
      </c>
      <c r="C119" s="102"/>
      <c r="D119" s="120"/>
      <c r="F119">
        <f t="shared" si="18"/>
        <v>255</v>
      </c>
      <c r="G119">
        <f t="shared" si="19"/>
        <v>255</v>
      </c>
      <c r="H119">
        <f t="shared" si="20"/>
        <v>125</v>
      </c>
      <c r="J119">
        <v>255</v>
      </c>
      <c r="K119">
        <v>255</v>
      </c>
      <c r="L119">
        <v>125</v>
      </c>
    </row>
    <row r="120" spans="1:12" ht="16" customHeight="1" x14ac:dyDescent="0.2">
      <c r="A120" s="150"/>
      <c r="B120" s="129" t="s">
        <v>102</v>
      </c>
      <c r="C120" s="5"/>
      <c r="D120" s="76"/>
      <c r="F120">
        <f t="shared" si="18"/>
        <v>96</v>
      </c>
      <c r="G120">
        <f t="shared" si="19"/>
        <v>255</v>
      </c>
      <c r="H120">
        <f t="shared" si="20"/>
        <v>123</v>
      </c>
      <c r="J120">
        <v>96</v>
      </c>
      <c r="K120">
        <v>255</v>
      </c>
      <c r="L120">
        <v>123</v>
      </c>
    </row>
    <row r="121" spans="1:12" ht="16" customHeight="1" x14ac:dyDescent="0.2">
      <c r="A121" s="150"/>
      <c r="B121" s="129" t="s">
        <v>103</v>
      </c>
      <c r="C121" s="5"/>
      <c r="D121" s="10"/>
      <c r="F121">
        <f t="shared" si="18"/>
        <v>255</v>
      </c>
      <c r="G121">
        <f t="shared" si="19"/>
        <v>255</v>
      </c>
      <c r="H121">
        <f t="shared" si="20"/>
        <v>255</v>
      </c>
      <c r="J121">
        <v>0</v>
      </c>
      <c r="K121">
        <v>0</v>
      </c>
      <c r="L121">
        <v>0</v>
      </c>
    </row>
    <row r="122" spans="1:12" ht="16" customHeight="1" x14ac:dyDescent="0.2">
      <c r="A122" s="150"/>
      <c r="B122" s="129" t="s">
        <v>104</v>
      </c>
      <c r="C122" s="5"/>
      <c r="D122" s="126"/>
      <c r="F122">
        <f t="shared" si="18"/>
        <v>255</v>
      </c>
      <c r="G122">
        <f t="shared" si="19"/>
        <v>255</v>
      </c>
      <c r="H122">
        <f t="shared" si="20"/>
        <v>255</v>
      </c>
      <c r="J122">
        <v>0</v>
      </c>
      <c r="K122">
        <v>0</v>
      </c>
      <c r="L122">
        <v>0</v>
      </c>
    </row>
    <row r="123" spans="1:12" ht="16" customHeight="1" x14ac:dyDescent="0.2">
      <c r="A123" s="150"/>
      <c r="B123" s="129" t="s">
        <v>105</v>
      </c>
      <c r="C123" s="5"/>
      <c r="D123" s="10"/>
      <c r="F123">
        <f t="shared" si="18"/>
        <v>255</v>
      </c>
      <c r="G123">
        <f t="shared" si="19"/>
        <v>255</v>
      </c>
      <c r="H123">
        <f t="shared" si="20"/>
        <v>255</v>
      </c>
      <c r="J123">
        <v>0</v>
      </c>
      <c r="K123">
        <v>0</v>
      </c>
      <c r="L123">
        <v>0</v>
      </c>
    </row>
    <row r="124" spans="1:12" ht="16" customHeight="1" x14ac:dyDescent="0.2">
      <c r="A124" s="150"/>
      <c r="B124" s="129" t="s">
        <v>106</v>
      </c>
      <c r="C124" s="5"/>
      <c r="D124" s="77"/>
      <c r="F124">
        <f t="shared" si="18"/>
        <v>236</v>
      </c>
      <c r="G124">
        <f t="shared" si="19"/>
        <v>107</v>
      </c>
      <c r="H124">
        <f t="shared" si="20"/>
        <v>67</v>
      </c>
      <c r="J124">
        <v>236</v>
      </c>
      <c r="K124">
        <v>107</v>
      </c>
      <c r="L124">
        <v>67</v>
      </c>
    </row>
    <row r="125" spans="1:12" ht="16" customHeight="1" x14ac:dyDescent="0.2">
      <c r="A125" s="150"/>
      <c r="B125" s="129" t="s">
        <v>107</v>
      </c>
      <c r="C125" s="5"/>
      <c r="D125" s="78"/>
      <c r="F125">
        <f t="shared" si="18"/>
        <v>113</v>
      </c>
      <c r="G125">
        <f t="shared" si="19"/>
        <v>189</v>
      </c>
      <c r="H125">
        <f t="shared" si="20"/>
        <v>199</v>
      </c>
      <c r="J125">
        <v>113</v>
      </c>
      <c r="K125">
        <v>189</v>
      </c>
      <c r="L125">
        <v>199</v>
      </c>
    </row>
    <row r="126" spans="1:12" ht="16" customHeight="1" x14ac:dyDescent="0.2">
      <c r="A126" s="150"/>
      <c r="B126" s="129" t="s">
        <v>108</v>
      </c>
      <c r="C126" s="5"/>
      <c r="D126" s="79"/>
      <c r="F126">
        <f t="shared" si="18"/>
        <v>69</v>
      </c>
      <c r="G126">
        <f t="shared" si="19"/>
        <v>255</v>
      </c>
      <c r="H126">
        <f t="shared" si="20"/>
        <v>203</v>
      </c>
      <c r="J126">
        <v>69</v>
      </c>
      <c r="K126">
        <v>255</v>
      </c>
      <c r="L126">
        <v>203</v>
      </c>
    </row>
    <row r="127" spans="1:12" ht="16" customHeight="1" x14ac:dyDescent="0.2">
      <c r="A127" s="150"/>
      <c r="B127" s="129" t="s">
        <v>136</v>
      </c>
      <c r="C127" s="5"/>
      <c r="D127" s="80"/>
      <c r="F127">
        <f t="shared" si="18"/>
        <v>156</v>
      </c>
      <c r="G127">
        <f t="shared" si="19"/>
        <v>247</v>
      </c>
      <c r="H127">
        <f t="shared" si="20"/>
        <v>64</v>
      </c>
      <c r="J127">
        <v>156</v>
      </c>
      <c r="K127">
        <v>247</v>
      </c>
      <c r="L127">
        <v>64</v>
      </c>
    </row>
    <row r="128" spans="1:12" ht="16" customHeight="1" thickBot="1" x14ac:dyDescent="0.25">
      <c r="A128" s="151"/>
      <c r="B128" s="130" t="s">
        <v>137</v>
      </c>
      <c r="C128" s="104"/>
      <c r="D128" s="121"/>
      <c r="F128">
        <f t="shared" si="18"/>
        <v>140</v>
      </c>
      <c r="G128">
        <f t="shared" si="19"/>
        <v>169</v>
      </c>
      <c r="H128">
        <f t="shared" si="20"/>
        <v>85</v>
      </c>
      <c r="J128">
        <v>140</v>
      </c>
      <c r="K128">
        <v>169</v>
      </c>
      <c r="L128">
        <v>85</v>
      </c>
    </row>
    <row r="129" spans="1:12" ht="16" customHeight="1" thickTop="1" x14ac:dyDescent="0.2">
      <c r="A129" s="149" t="s">
        <v>147</v>
      </c>
      <c r="B129" s="133" t="s">
        <v>109</v>
      </c>
      <c r="C129" s="102"/>
      <c r="D129" s="122"/>
      <c r="F129">
        <f t="shared" si="18"/>
        <v>68</v>
      </c>
      <c r="G129">
        <f t="shared" si="19"/>
        <v>252</v>
      </c>
      <c r="H129">
        <f t="shared" si="20"/>
        <v>92</v>
      </c>
      <c r="J129">
        <v>68</v>
      </c>
      <c r="K129">
        <v>252</v>
      </c>
      <c r="L129">
        <v>92</v>
      </c>
    </row>
    <row r="130" spans="1:12" ht="16" customHeight="1" x14ac:dyDescent="0.2">
      <c r="A130" s="150"/>
      <c r="B130" s="129" t="s">
        <v>111</v>
      </c>
      <c r="C130" s="5"/>
      <c r="D130" s="81"/>
      <c r="F130">
        <f t="shared" si="18"/>
        <v>200</v>
      </c>
      <c r="G130">
        <f t="shared" si="19"/>
        <v>255</v>
      </c>
      <c r="H130">
        <f t="shared" si="20"/>
        <v>71</v>
      </c>
      <c r="J130">
        <v>200</v>
      </c>
      <c r="K130">
        <v>255</v>
      </c>
      <c r="L130">
        <v>71</v>
      </c>
    </row>
    <row r="131" spans="1:12" ht="16" customHeight="1" x14ac:dyDescent="0.2">
      <c r="A131" s="150"/>
      <c r="B131" s="129" t="s">
        <v>112</v>
      </c>
      <c r="C131" s="5"/>
      <c r="D131" s="82"/>
      <c r="F131">
        <f t="shared" si="18"/>
        <v>236</v>
      </c>
      <c r="G131">
        <f t="shared" si="19"/>
        <v>141</v>
      </c>
      <c r="H131">
        <f t="shared" si="20"/>
        <v>62</v>
      </c>
      <c r="J131">
        <v>236</v>
      </c>
      <c r="K131">
        <v>141</v>
      </c>
      <c r="L131">
        <v>62</v>
      </c>
    </row>
    <row r="132" spans="1:12" ht="16" customHeight="1" x14ac:dyDescent="0.2">
      <c r="A132" s="150"/>
      <c r="B132" s="129" t="s">
        <v>110</v>
      </c>
      <c r="C132" s="5"/>
      <c r="D132" s="83"/>
      <c r="F132">
        <f t="shared" si="18"/>
        <v>108</v>
      </c>
      <c r="G132">
        <f t="shared" si="19"/>
        <v>191</v>
      </c>
      <c r="H132">
        <f t="shared" si="20"/>
        <v>255</v>
      </c>
      <c r="J132">
        <v>108</v>
      </c>
      <c r="K132">
        <v>191</v>
      </c>
      <c r="L132">
        <v>255</v>
      </c>
    </row>
    <row r="133" spans="1:12" ht="16" customHeight="1" x14ac:dyDescent="0.2">
      <c r="A133" s="150"/>
      <c r="B133" s="129" t="s">
        <v>113</v>
      </c>
      <c r="C133" s="5"/>
      <c r="D133" s="10"/>
      <c r="F133">
        <f t="shared" si="18"/>
        <v>255</v>
      </c>
      <c r="G133">
        <f t="shared" si="19"/>
        <v>255</v>
      </c>
      <c r="H133">
        <f t="shared" si="20"/>
        <v>255</v>
      </c>
      <c r="J133">
        <v>0</v>
      </c>
      <c r="K133">
        <v>0</v>
      </c>
      <c r="L133">
        <v>0</v>
      </c>
    </row>
    <row r="134" spans="1:12" ht="16" customHeight="1" x14ac:dyDescent="0.2">
      <c r="A134" s="150"/>
      <c r="B134" s="129" t="s">
        <v>114</v>
      </c>
      <c r="C134" s="5"/>
      <c r="D134" s="84"/>
      <c r="F134">
        <f t="shared" si="18"/>
        <v>71</v>
      </c>
      <c r="G134">
        <f t="shared" si="19"/>
        <v>179</v>
      </c>
      <c r="H134">
        <f t="shared" si="20"/>
        <v>71</v>
      </c>
      <c r="J134">
        <v>71</v>
      </c>
      <c r="K134">
        <v>179</v>
      </c>
      <c r="L134">
        <v>71</v>
      </c>
    </row>
    <row r="135" spans="1:12" ht="16" customHeight="1" x14ac:dyDescent="0.2">
      <c r="A135" s="150"/>
      <c r="B135" s="129" t="s">
        <v>115</v>
      </c>
      <c r="C135" s="5"/>
      <c r="D135" s="85"/>
      <c r="F135">
        <f t="shared" si="18"/>
        <v>176</v>
      </c>
      <c r="G135">
        <f t="shared" si="19"/>
        <v>170</v>
      </c>
      <c r="H135">
        <f t="shared" si="20"/>
        <v>225</v>
      </c>
      <c r="J135">
        <v>176</v>
      </c>
      <c r="K135">
        <v>170</v>
      </c>
      <c r="L135">
        <v>225</v>
      </c>
    </row>
    <row r="136" spans="1:12" ht="16" customHeight="1" x14ac:dyDescent="0.2">
      <c r="A136" s="150"/>
      <c r="B136" s="129" t="s">
        <v>116</v>
      </c>
      <c r="C136" s="5"/>
      <c r="D136" s="86"/>
      <c r="F136">
        <f t="shared" si="18"/>
        <v>148</v>
      </c>
      <c r="G136">
        <f t="shared" si="19"/>
        <v>232</v>
      </c>
      <c r="H136">
        <f t="shared" si="20"/>
        <v>198</v>
      </c>
      <c r="J136">
        <v>148</v>
      </c>
      <c r="K136">
        <v>232</v>
      </c>
      <c r="L136">
        <v>198</v>
      </c>
    </row>
    <row r="137" spans="1:12" ht="16" customHeight="1" x14ac:dyDescent="0.2">
      <c r="A137" s="150"/>
      <c r="B137" s="129" t="s">
        <v>117</v>
      </c>
      <c r="C137" s="5"/>
      <c r="D137" s="87"/>
      <c r="F137">
        <f t="shared" si="18"/>
        <v>250</v>
      </c>
      <c r="G137">
        <f t="shared" si="19"/>
        <v>97</v>
      </c>
      <c r="H137">
        <f t="shared" si="20"/>
        <v>114</v>
      </c>
      <c r="J137">
        <v>250</v>
      </c>
      <c r="K137">
        <v>97</v>
      </c>
      <c r="L137">
        <v>114</v>
      </c>
    </row>
    <row r="138" spans="1:12" ht="16" customHeight="1" thickBot="1" x14ac:dyDescent="0.25">
      <c r="A138" s="151"/>
      <c r="B138" s="132" t="s">
        <v>118</v>
      </c>
      <c r="C138" s="104"/>
      <c r="D138" s="123"/>
      <c r="F138">
        <f t="shared" si="18"/>
        <v>70</v>
      </c>
      <c r="G138">
        <f t="shared" si="19"/>
        <v>70</v>
      </c>
      <c r="H138">
        <f t="shared" si="20"/>
        <v>255</v>
      </c>
      <c r="J138">
        <v>70</v>
      </c>
      <c r="K138">
        <v>70</v>
      </c>
      <c r="L138">
        <v>255</v>
      </c>
    </row>
    <row r="139" spans="1:12" ht="16" customHeight="1" thickTop="1" x14ac:dyDescent="0.2">
      <c r="A139" s="149" t="s">
        <v>149</v>
      </c>
      <c r="B139" s="128" t="s">
        <v>119</v>
      </c>
      <c r="C139" s="102"/>
      <c r="D139" s="124"/>
      <c r="F139">
        <f t="shared" si="18"/>
        <v>84</v>
      </c>
      <c r="G139">
        <f t="shared" si="19"/>
        <v>240</v>
      </c>
      <c r="H139">
        <f t="shared" si="20"/>
        <v>71</v>
      </c>
      <c r="J139">
        <v>84</v>
      </c>
      <c r="K139">
        <v>240</v>
      </c>
      <c r="L139">
        <v>71</v>
      </c>
    </row>
    <row r="140" spans="1:12" ht="16" customHeight="1" x14ac:dyDescent="0.2">
      <c r="A140" s="150"/>
      <c r="B140" s="129" t="s">
        <v>120</v>
      </c>
      <c r="C140" s="5"/>
      <c r="D140" s="139"/>
      <c r="F140">
        <f t="shared" si="18"/>
        <v>175</v>
      </c>
      <c r="G140">
        <f t="shared" si="19"/>
        <v>146</v>
      </c>
      <c r="H140">
        <f t="shared" si="20"/>
        <v>171</v>
      </c>
      <c r="J140">
        <v>175</v>
      </c>
      <c r="K140">
        <v>146</v>
      </c>
      <c r="L140">
        <v>171</v>
      </c>
    </row>
    <row r="141" spans="1:12" ht="16" customHeight="1" thickBot="1" x14ac:dyDescent="0.25">
      <c r="A141" s="151"/>
      <c r="B141" s="130" t="s">
        <v>121</v>
      </c>
      <c r="C141" s="104"/>
      <c r="D141" s="138"/>
      <c r="F141">
        <f t="shared" ref="F141:F154" si="27" xml:space="preserve"> getRGB_R(D141)</f>
        <v>98</v>
      </c>
      <c r="G141">
        <f t="shared" ref="G141:G154" si="28" xml:space="preserve"> getRGB_G(D141)</f>
        <v>51</v>
      </c>
      <c r="H141">
        <f t="shared" ref="H141:H154" si="29" xml:space="preserve"> getRGB_B(D141)</f>
        <v>241</v>
      </c>
      <c r="J141">
        <v>98</v>
      </c>
      <c r="K141">
        <v>51</v>
      </c>
      <c r="L141">
        <v>241</v>
      </c>
    </row>
    <row r="142" spans="1:12" ht="16" customHeight="1" thickTop="1" x14ac:dyDescent="0.2">
      <c r="A142" s="149" t="s">
        <v>148</v>
      </c>
      <c r="B142" s="133" t="s">
        <v>122</v>
      </c>
      <c r="C142" s="102"/>
      <c r="D142" s="125"/>
      <c r="F142">
        <f t="shared" si="27"/>
        <v>122</v>
      </c>
      <c r="G142">
        <f t="shared" si="28"/>
        <v>96</v>
      </c>
      <c r="H142">
        <f t="shared" si="29"/>
        <v>62</v>
      </c>
      <c r="J142">
        <v>122</v>
      </c>
      <c r="K142">
        <v>96</v>
      </c>
      <c r="L142">
        <v>62</v>
      </c>
    </row>
    <row r="143" spans="1:12" ht="16" customHeight="1" x14ac:dyDescent="0.2">
      <c r="A143" s="150"/>
      <c r="B143" s="129" t="s">
        <v>123</v>
      </c>
      <c r="C143" s="5"/>
      <c r="D143" s="88"/>
      <c r="F143">
        <f t="shared" si="27"/>
        <v>115</v>
      </c>
      <c r="G143">
        <f t="shared" si="28"/>
        <v>245</v>
      </c>
      <c r="H143">
        <f t="shared" si="29"/>
        <v>75</v>
      </c>
      <c r="J143">
        <v>115</v>
      </c>
      <c r="K143">
        <v>245</v>
      </c>
      <c r="L143">
        <v>75</v>
      </c>
    </row>
    <row r="144" spans="1:12" ht="16" customHeight="1" x14ac:dyDescent="0.2">
      <c r="A144" s="150"/>
      <c r="B144" s="129" t="s">
        <v>124</v>
      </c>
      <c r="C144" s="5"/>
      <c r="D144" s="89"/>
      <c r="F144">
        <f t="shared" si="27"/>
        <v>59</v>
      </c>
      <c r="G144">
        <f t="shared" si="28"/>
        <v>151</v>
      </c>
      <c r="H144">
        <f t="shared" si="29"/>
        <v>86</v>
      </c>
      <c r="J144">
        <v>59</v>
      </c>
      <c r="K144">
        <v>151</v>
      </c>
      <c r="L144">
        <v>86</v>
      </c>
    </row>
    <row r="145" spans="1:12" ht="16" customHeight="1" x14ac:dyDescent="0.2">
      <c r="A145" s="150"/>
      <c r="B145" s="129" t="s">
        <v>125</v>
      </c>
      <c r="C145" s="4"/>
      <c r="D145" s="90"/>
      <c r="F145">
        <f t="shared" si="27"/>
        <v>69</v>
      </c>
      <c r="G145">
        <f t="shared" si="28"/>
        <v>110</v>
      </c>
      <c r="H145">
        <f t="shared" si="29"/>
        <v>158</v>
      </c>
      <c r="J145">
        <v>69</v>
      </c>
      <c r="K145">
        <v>110</v>
      </c>
      <c r="L145">
        <v>158</v>
      </c>
    </row>
    <row r="146" spans="1:12" ht="16" customHeight="1" x14ac:dyDescent="0.2">
      <c r="A146" s="150"/>
      <c r="B146" s="129" t="s">
        <v>126</v>
      </c>
      <c r="C146" s="5"/>
      <c r="D146" s="91"/>
      <c r="F146">
        <f t="shared" si="27"/>
        <v>157</v>
      </c>
      <c r="G146">
        <f t="shared" si="28"/>
        <v>63</v>
      </c>
      <c r="H146">
        <f t="shared" si="29"/>
        <v>255</v>
      </c>
      <c r="J146">
        <v>157</v>
      </c>
      <c r="K146">
        <v>63</v>
      </c>
      <c r="L146">
        <v>255</v>
      </c>
    </row>
    <row r="147" spans="1:12" ht="16" customHeight="1" x14ac:dyDescent="0.2">
      <c r="A147" s="150"/>
      <c r="B147" s="129" t="s">
        <v>127</v>
      </c>
      <c r="C147" s="5"/>
      <c r="D147" s="92"/>
      <c r="F147">
        <f t="shared" si="27"/>
        <v>214</v>
      </c>
      <c r="G147">
        <f t="shared" si="28"/>
        <v>255</v>
      </c>
      <c r="H147">
        <f t="shared" si="29"/>
        <v>225</v>
      </c>
      <c r="J147">
        <v>214</v>
      </c>
      <c r="K147">
        <v>255</v>
      </c>
      <c r="L147">
        <v>225</v>
      </c>
    </row>
    <row r="148" spans="1:12" ht="16" customHeight="1" x14ac:dyDescent="0.2">
      <c r="A148" s="150"/>
      <c r="B148" s="129" t="s">
        <v>134</v>
      </c>
      <c r="C148" s="5"/>
      <c r="D148" s="93"/>
      <c r="F148">
        <f t="shared" si="27"/>
        <v>118</v>
      </c>
      <c r="G148">
        <f t="shared" si="28"/>
        <v>94</v>
      </c>
      <c r="H148">
        <f t="shared" si="29"/>
        <v>64</v>
      </c>
      <c r="J148">
        <v>118</v>
      </c>
      <c r="K148">
        <v>94</v>
      </c>
      <c r="L148">
        <v>64</v>
      </c>
    </row>
    <row r="149" spans="1:12" ht="16" customHeight="1" x14ac:dyDescent="0.2">
      <c r="A149" s="150"/>
      <c r="B149" s="129" t="s">
        <v>133</v>
      </c>
      <c r="C149" s="5"/>
      <c r="D149" s="94"/>
      <c r="F149">
        <f t="shared" si="27"/>
        <v>255</v>
      </c>
      <c r="G149">
        <f t="shared" si="28"/>
        <v>253</v>
      </c>
      <c r="H149">
        <f t="shared" si="29"/>
        <v>84</v>
      </c>
      <c r="J149">
        <v>255</v>
      </c>
      <c r="K149">
        <v>253</v>
      </c>
      <c r="L149">
        <v>84</v>
      </c>
    </row>
    <row r="150" spans="1:12" ht="16" customHeight="1" x14ac:dyDescent="0.2">
      <c r="A150" s="150"/>
      <c r="B150" s="129" t="s">
        <v>128</v>
      </c>
      <c r="C150" s="5"/>
      <c r="D150" s="95"/>
      <c r="F150">
        <f t="shared" si="27"/>
        <v>126</v>
      </c>
      <c r="G150">
        <f t="shared" si="28"/>
        <v>246</v>
      </c>
      <c r="H150">
        <f t="shared" si="29"/>
        <v>227</v>
      </c>
      <c r="J150">
        <v>126</v>
      </c>
      <c r="K150">
        <v>246</v>
      </c>
      <c r="L150">
        <v>227</v>
      </c>
    </row>
    <row r="151" spans="1:12" ht="16" customHeight="1" x14ac:dyDescent="0.2">
      <c r="A151" s="150"/>
      <c r="B151" s="129" t="s">
        <v>129</v>
      </c>
      <c r="C151" s="5"/>
      <c r="D151" s="96"/>
      <c r="F151">
        <f t="shared" si="27"/>
        <v>60</v>
      </c>
      <c r="G151">
        <f t="shared" si="28"/>
        <v>60</v>
      </c>
      <c r="H151">
        <f t="shared" si="29"/>
        <v>255</v>
      </c>
      <c r="J151">
        <v>60</v>
      </c>
      <c r="K151">
        <v>60</v>
      </c>
      <c r="L151">
        <v>255</v>
      </c>
    </row>
    <row r="152" spans="1:12" ht="16" customHeight="1" x14ac:dyDescent="0.2">
      <c r="A152" s="150"/>
      <c r="B152" s="129" t="s">
        <v>130</v>
      </c>
      <c r="C152" s="5"/>
      <c r="D152" s="97"/>
      <c r="F152">
        <f t="shared" si="27"/>
        <v>60</v>
      </c>
      <c r="G152">
        <f t="shared" si="28"/>
        <v>67</v>
      </c>
      <c r="H152">
        <f t="shared" si="29"/>
        <v>185</v>
      </c>
      <c r="J152">
        <v>60</v>
      </c>
      <c r="K152">
        <v>67</v>
      </c>
      <c r="L152">
        <v>185</v>
      </c>
    </row>
    <row r="153" spans="1:12" ht="16" customHeight="1" x14ac:dyDescent="0.2">
      <c r="A153" s="150"/>
      <c r="B153" s="129" t="s">
        <v>132</v>
      </c>
      <c r="C153" s="5"/>
      <c r="D153" s="98"/>
      <c r="F153">
        <f t="shared" si="27"/>
        <v>154</v>
      </c>
      <c r="G153">
        <f t="shared" si="28"/>
        <v>218</v>
      </c>
      <c r="H153">
        <f t="shared" si="29"/>
        <v>86</v>
      </c>
      <c r="J153">
        <v>154</v>
      </c>
      <c r="K153">
        <v>218</v>
      </c>
      <c r="L153">
        <v>86</v>
      </c>
    </row>
    <row r="154" spans="1:12" ht="16" customHeight="1" thickBot="1" x14ac:dyDescent="0.25">
      <c r="A154" s="151"/>
      <c r="B154" s="130" t="s">
        <v>131</v>
      </c>
      <c r="C154" s="104"/>
      <c r="D154" s="99"/>
      <c r="F154">
        <f t="shared" si="27"/>
        <v>255</v>
      </c>
      <c r="G154">
        <f t="shared" si="28"/>
        <v>255</v>
      </c>
      <c r="H154">
        <f t="shared" si="29"/>
        <v>255</v>
      </c>
      <c r="J154">
        <v>0</v>
      </c>
      <c r="K154">
        <v>0</v>
      </c>
      <c r="L154">
        <v>0</v>
      </c>
    </row>
    <row r="155" spans="1:12" ht="17" thickTop="1" x14ac:dyDescent="0.2"/>
  </sheetData>
  <mergeCells count="12">
    <mergeCell ref="A97:A109"/>
    <mergeCell ref="A110:A118"/>
    <mergeCell ref="A119:A128"/>
    <mergeCell ref="A129:A138"/>
    <mergeCell ref="A142:A154"/>
    <mergeCell ref="A139:A141"/>
    <mergeCell ref="A91:A96"/>
    <mergeCell ref="A3:A21"/>
    <mergeCell ref="A22:A29"/>
    <mergeCell ref="A30:A33"/>
    <mergeCell ref="A34:A72"/>
    <mergeCell ref="A73:A90"/>
  </mergeCells>
  <pageMargins left="0.7" right="0.7" top="0.75" bottom="0.75" header="0.3" footer="0.3"/>
  <pageSetup scale="30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Portrait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Eviatar Yemini</dc:creator>
  <cp:lastModifiedBy>Eviatar Yemini</cp:lastModifiedBy>
  <cp:lastPrinted>2018-04-20T00:08:47Z</cp:lastPrinted>
  <dcterms:created xsi:type="dcterms:W3CDTF">2018-03-29T01:17:26Z</dcterms:created>
  <dcterms:modified xsi:type="dcterms:W3CDTF">2018-10-28T14:56:47Z</dcterms:modified>
</cp:coreProperties>
</file>